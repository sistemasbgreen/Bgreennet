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ngulo\Documents\"/>
    </mc:Choice>
  </mc:AlternateContent>
  <xr:revisionPtr revIDLastSave="0" documentId="8_{95F44B26-326B-4D30-ABE9-3FF2CE5B69AE}" xr6:coauthVersionLast="47" xr6:coauthVersionMax="47" xr10:uidLastSave="{00000000-0000-0000-0000-000000000000}"/>
  <bookViews>
    <workbookView xWindow="-28920" yWindow="-45" windowWidth="29040" windowHeight="15720" tabRatio="904" activeTab="1" xr2:uid="{00000000-000D-0000-FFFF-FFFF00000000}"/>
  </bookViews>
  <sheets>
    <sheet name="Alimentación" sheetId="43" r:id="rId1"/>
    <sheet name="Transporte" sheetId="63" r:id="rId2"/>
    <sheet name="BD" sheetId="60" state="veryHidden" r:id="rId3"/>
  </sheets>
  <definedNames>
    <definedName name="_1">BD!$R$2:$R$39</definedName>
    <definedName name="_10">BD!$R$331:$R$375</definedName>
    <definedName name="_11">BD!$R$369:$R$412</definedName>
    <definedName name="_12">BD!$R$406:$R$450</definedName>
    <definedName name="_2">BD!$R$33:$R$74</definedName>
    <definedName name="_3">BD!$R$68:$R$112</definedName>
    <definedName name="_4">BD!$R$106:$R$149</definedName>
    <definedName name="_5">BD!$R$143:$R$187</definedName>
    <definedName name="_6">BD!$R$181:$R$224</definedName>
    <definedName name="_7">BD!$R$218:$R$262</definedName>
    <definedName name="_8">BD!$R$256:$R$300</definedName>
    <definedName name="_9">BD!$R$294:$R$337</definedName>
    <definedName name="_xlnm._FilterDatabase" localSheetId="2" hidden="1">BD!$H$1:$K$99</definedName>
    <definedName name="Abastecimiento">BD!$J$2:$J$5</definedName>
    <definedName name="Administrativo">BD!$J$6:$J$8</definedName>
    <definedName name="Almacén">BD!$J$9:$J$11</definedName>
    <definedName name="Analista Administrativo">BD!$K$8</definedName>
    <definedName name="Analista de Abastecimiento">BD!$K$4:$K$5</definedName>
    <definedName name="Analista de Comercio Exterior">BD!$K$13</definedName>
    <definedName name="Analista de Gestión Humana">BD!$K$28</definedName>
    <definedName name="Analista de Impuestos">BD!$K$18</definedName>
    <definedName name="Analista de Inventarios">BD!$K$11</definedName>
    <definedName name="Analista de Laboratorio">BD!$K$36:$K$40</definedName>
    <definedName name="Analista de Mantenimiento">BD!$K$64</definedName>
    <definedName name="Analista de Mejoramiento Continuo">BD!$K$34</definedName>
    <definedName name="Analista HSEQ">BD!$K$33</definedName>
    <definedName name="Analista Tesorería">BD!$K$96</definedName>
    <definedName name="Aprendiz Contabilidad y Tesorería">BD!$K$15</definedName>
    <definedName name="Aprendiz Documentación">BD!$K$25</definedName>
    <definedName name="Aprendiz Eléctrico">BD!$K$52</definedName>
    <definedName name="Aprendiz Servicios Industriales OSBL">BD!$K$90</definedName>
    <definedName name="Aprendiz Soldadura">BD!$K$51</definedName>
    <definedName name="Asistente Administrativa">BD!$K$7</definedName>
    <definedName name="Asistente de Abastecimiento">BD!$K$3</definedName>
    <definedName name="Asistente de Contabilidad">BD!$K$17</definedName>
    <definedName name="Asistente de Gestión Humana">BD!$K$27</definedName>
    <definedName name="Asistente Documentación">BD!$K$26</definedName>
    <definedName name="Asistente Logístico">BD!$K$48:$K$49</definedName>
    <definedName name="Asistente TIC">BD!$K$98</definedName>
    <definedName name="Auxiliar de Almacén">BD!$K$9:$K$10</definedName>
    <definedName name="Auxiliar de Contabilidad">BD!$K$16</definedName>
    <definedName name="Auxiliar de Mantenimiento Mecánico">BD!$K$53</definedName>
    <definedName name="Auxiliar de Servicios Generales">BD!$K$72:$K$75</definedName>
    <definedName name="Auxiliar Financiero">BD!$K$68</definedName>
    <definedName name="Auxiliar HSEQ">BD!$K$31:$K$32</definedName>
    <definedName name="Auxiliar ISBL">BD!$K$76:$K$79</definedName>
    <definedName name="Auxiliar Servicios Generales Administrativo">BD!$K$6</definedName>
    <definedName name="Comercial">BD!$J$12</definedName>
    <definedName name="Comercio Exterior">BD!$J$13:$J$14</definedName>
    <definedName name="Conductor de Presidencia">BD!$K$70</definedName>
    <definedName name="Contabilidad">BD!$J$15:$J$19</definedName>
    <definedName name="Control Interno">BD!$J$20</definedName>
    <definedName name="Coordinador Comercial">BD!$K$12</definedName>
    <definedName name="Coordinador de Mantenimiento Eléctrico">BD!$K$65</definedName>
    <definedName name="Coordinador de Mantenimiento Mecánico">BD!$K$66</definedName>
    <definedName name="Coordinador de Producción">BD!$K$84:$K$87</definedName>
    <definedName name="Coordinadora Control Interno">BD!$K$20</definedName>
    <definedName name="Coordinadora de Aseguramiento de Calidad">BD!$K$41</definedName>
    <definedName name="Dir. Abastecimiento y Comercialización">BD!$J$21</definedName>
    <definedName name="Dir. de Planta">BD!$J$24</definedName>
    <definedName name="Dir. Financiera y Administrativa">BD!$J$22</definedName>
    <definedName name="Dir. Laboratorio y SIG">BD!$J$23</definedName>
    <definedName name="Dirección Abastecimiento y Comercialización">BD!$D$2:$D$7</definedName>
    <definedName name="Dirección de Planta">BD!$D$8:$D$11</definedName>
    <definedName name="Dirección Financiera y Administrativa">BD!$D$12:$D$18</definedName>
    <definedName name="Dirección Laboratorio y SIG">BD!$D$19:$D$22</definedName>
    <definedName name="Direcciones">BD!$A$2:$A$6</definedName>
    <definedName name="Director de Laboratorio y SIG">BD!$K$23</definedName>
    <definedName name="Director de Planta">BD!$K$24</definedName>
    <definedName name="Director Financiero y Administrativo">BD!$K$22</definedName>
    <definedName name="Directora de Abastecimiento y Comercialización">BD!$K$21</definedName>
    <definedName name="Gestión Documental">BD!$J$25:$J$26</definedName>
    <definedName name="Gestión Humana">BD!$J$27:$J$29</definedName>
    <definedName name="HSEQ">BD!$J$30:$J$35</definedName>
    <definedName name="Jefe de Comercio Exterior e Inventarios">BD!$K$14</definedName>
    <definedName name="Jefe de Contabilidad">BD!$K$19</definedName>
    <definedName name="Jefe de Control de Calidad">BD!$K$42</definedName>
    <definedName name="Jefe de Gestión Humana y Administrativo">BD!$K$29</definedName>
    <definedName name="Jefe de Logística">BD!$K$50</definedName>
    <definedName name="Jefe de Mantenimiento">BD!$K$67</definedName>
    <definedName name="Jefe de Operación de Producción">BD!$K$89</definedName>
    <definedName name="Jefe de Planeación Financiera">BD!$K$69</definedName>
    <definedName name="Jefe de Planeación y Mejoras de Producción">BD!$K$88</definedName>
    <definedName name="Jefe de Proyectos y Servicios Industriales">BD!$K$95</definedName>
    <definedName name="Jefe de Tesorería">BD!$K$97</definedName>
    <definedName name="Jefe HSEQ">BD!$K$35</definedName>
    <definedName name="Jefe TIC">BD!$K$99</definedName>
    <definedName name="Laboratorio">BD!$J$36:$J$42</definedName>
    <definedName name="Logística">BD!$J$43:$J$50</definedName>
    <definedName name="Mantenimiento">BD!$J$51:$J$67</definedName>
    <definedName name="Mensajero">BD!$K$2</definedName>
    <definedName name="Operario Cargue y Descargue">BD!$K$43:$K$47</definedName>
    <definedName name="Operario de Servicios Generales">BD!$K$30</definedName>
    <definedName name="Operario de Servicios Industriales OSBL">BD!$K$91:$K$94</definedName>
    <definedName name="Operario ISBL">BD!$K$80:$K$83</definedName>
    <definedName name="Planeación Financiera">BD!$J$68:$J$69</definedName>
    <definedName name="Presidencia ">BD!$D$23</definedName>
    <definedName name="Presidente">BD!$K$71</definedName>
    <definedName name="Producción">BD!$J$72:$J$89</definedName>
    <definedName name="Servicios Industriales">BD!$J$90:$J$95</definedName>
    <definedName name="Técnico en Mantenimiento Eléctrico">BD!$K$56:$K$59</definedName>
    <definedName name="Técnico en Mantenimiento Mecánico">BD!$K$60:$K$63</definedName>
    <definedName name="Técnico Instrumentista">BD!$K$55</definedName>
    <definedName name="Técnico Soldador">BD!$K$54</definedName>
    <definedName name="Tesorería">BD!$J$96:$J$97</definedName>
    <definedName name="TIC">BD!$J$98:$J$99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63" l="1"/>
  <c r="J1" i="43"/>
  <c r="J1" i="63"/>
  <c r="G100" i="63"/>
  <c r="G99" i="63"/>
  <c r="G98" i="63"/>
  <c r="G97" i="63"/>
  <c r="G96" i="63"/>
  <c r="G95" i="63"/>
  <c r="G94" i="63"/>
  <c r="G93" i="63"/>
  <c r="G92" i="63"/>
  <c r="G91" i="63"/>
  <c r="G90" i="63"/>
  <c r="G89" i="63"/>
  <c r="G88" i="63"/>
  <c r="G87" i="63"/>
  <c r="G86" i="63"/>
  <c r="G85" i="63"/>
  <c r="G84" i="63"/>
  <c r="G83" i="63"/>
  <c r="G82" i="63"/>
  <c r="G81" i="63"/>
  <c r="G80" i="63"/>
  <c r="G79" i="63"/>
  <c r="G78" i="63"/>
  <c r="G77" i="63"/>
  <c r="G76" i="63"/>
  <c r="G75" i="63"/>
  <c r="G74" i="63"/>
  <c r="G73" i="63"/>
  <c r="G72" i="63"/>
  <c r="G71" i="63"/>
  <c r="G70" i="63"/>
  <c r="G69" i="63"/>
  <c r="G68" i="63"/>
  <c r="G67" i="63"/>
  <c r="G66" i="63"/>
  <c r="G65" i="63"/>
  <c r="G64" i="63"/>
  <c r="G63" i="63"/>
  <c r="G62" i="63"/>
  <c r="G61" i="63"/>
  <c r="G60" i="63"/>
  <c r="G59" i="63"/>
  <c r="G58" i="63"/>
  <c r="G57" i="63"/>
  <c r="G56" i="63"/>
  <c r="G55" i="63"/>
  <c r="G54" i="63"/>
  <c r="G53" i="63"/>
  <c r="G52" i="63"/>
  <c r="G51" i="63"/>
  <c r="G50" i="63"/>
  <c r="G49" i="63"/>
  <c r="G48" i="63"/>
  <c r="G47" i="63"/>
  <c r="G46" i="63"/>
  <c r="G45" i="63"/>
  <c r="G44" i="63"/>
  <c r="G43" i="63"/>
  <c r="G42" i="63"/>
  <c r="G41" i="63"/>
  <c r="G40" i="63"/>
  <c r="G39" i="63"/>
  <c r="G38" i="63"/>
  <c r="G37" i="63"/>
  <c r="G36" i="63"/>
  <c r="G35" i="63"/>
  <c r="G34" i="63"/>
  <c r="G33" i="63"/>
  <c r="G32" i="63"/>
  <c r="G31" i="63"/>
  <c r="G30" i="63"/>
  <c r="G29" i="63"/>
  <c r="G28" i="63"/>
  <c r="G27" i="63"/>
  <c r="G26" i="63"/>
  <c r="G25" i="63"/>
  <c r="G24" i="63"/>
  <c r="G23" i="63"/>
  <c r="G22" i="63"/>
  <c r="G21" i="63"/>
  <c r="G20" i="63"/>
  <c r="G19" i="63"/>
  <c r="G18" i="63"/>
  <c r="G17" i="63"/>
  <c r="G16" i="63"/>
  <c r="G15" i="63"/>
  <c r="G14" i="63"/>
  <c r="G13" i="63"/>
  <c r="G12" i="63"/>
  <c r="G11" i="63"/>
  <c r="G10" i="63"/>
  <c r="G9" i="63"/>
  <c r="G8" i="63"/>
  <c r="G7" i="63"/>
  <c r="G6" i="63"/>
  <c r="G5" i="63"/>
  <c r="G4" i="63"/>
  <c r="G3" i="63"/>
  <c r="G2" i="43"/>
  <c r="G3" i="43"/>
  <c r="G4" i="43"/>
  <c r="G5" i="43"/>
  <c r="G6" i="43"/>
  <c r="G7" i="43"/>
  <c r="G8" i="43"/>
  <c r="G9" i="43"/>
  <c r="G10" i="43"/>
  <c r="G11" i="43"/>
  <c r="G12" i="43"/>
  <c r="G13" i="43"/>
  <c r="G14" i="43"/>
  <c r="G15" i="43"/>
  <c r="G16" i="43"/>
  <c r="G17" i="43"/>
  <c r="G18" i="43"/>
  <c r="G19" i="43"/>
  <c r="G20" i="43"/>
  <c r="G21" i="43"/>
  <c r="G22" i="43"/>
  <c r="G23" i="43"/>
  <c r="G24" i="43"/>
  <c r="G25" i="43"/>
  <c r="G26" i="43"/>
  <c r="G27" i="43"/>
  <c r="G28" i="43"/>
  <c r="G29" i="43"/>
  <c r="G30" i="43"/>
  <c r="G31" i="43"/>
  <c r="G32" i="43"/>
  <c r="G33" i="43"/>
  <c r="G34" i="43"/>
  <c r="G35" i="43"/>
  <c r="G36" i="43"/>
  <c r="G37" i="43"/>
  <c r="G38" i="43"/>
  <c r="G39" i="43"/>
  <c r="G40" i="43"/>
  <c r="G41" i="43"/>
  <c r="G42" i="43"/>
  <c r="G43" i="43"/>
  <c r="G44" i="43"/>
  <c r="G45" i="43"/>
  <c r="G46" i="43"/>
  <c r="G47" i="43"/>
  <c r="G48" i="43"/>
  <c r="G49" i="43"/>
  <c r="G50" i="43"/>
  <c r="G51" i="43"/>
  <c r="G52" i="43"/>
  <c r="G53" i="43"/>
  <c r="G54" i="43"/>
  <c r="G55" i="43"/>
  <c r="G56" i="43"/>
  <c r="G57" i="43"/>
  <c r="G58" i="43"/>
  <c r="G59" i="43"/>
  <c r="G60" i="43"/>
  <c r="G61" i="43"/>
  <c r="G62" i="43"/>
  <c r="G63" i="43"/>
  <c r="G64" i="43"/>
  <c r="G65" i="43"/>
  <c r="G66" i="43"/>
  <c r="G67" i="43"/>
  <c r="G68" i="43"/>
  <c r="G69" i="43"/>
  <c r="G70" i="43"/>
  <c r="G71" i="43"/>
  <c r="G72" i="43"/>
  <c r="G73" i="43"/>
  <c r="G74" i="43"/>
  <c r="G75" i="43"/>
  <c r="G76" i="43"/>
  <c r="G77" i="43"/>
  <c r="G78" i="43"/>
  <c r="G79" i="43"/>
  <c r="G80" i="43"/>
  <c r="G81" i="43"/>
  <c r="G82" i="43"/>
  <c r="G83" i="43"/>
  <c r="G84" i="43"/>
  <c r="G85" i="43"/>
  <c r="G86" i="43"/>
  <c r="G87" i="43"/>
  <c r="G88" i="43"/>
  <c r="G89" i="43"/>
  <c r="G90" i="43"/>
  <c r="G91" i="43"/>
  <c r="G92" i="43"/>
  <c r="G93" i="43"/>
  <c r="G94" i="43"/>
  <c r="G95" i="43"/>
  <c r="G96" i="43"/>
  <c r="G97" i="43"/>
  <c r="G98" i="43"/>
  <c r="G99" i="43"/>
  <c r="G100" i="43"/>
</calcChain>
</file>

<file path=xl/sharedStrings.xml><?xml version="1.0" encoding="utf-8"?>
<sst xmlns="http://schemas.openxmlformats.org/spreadsheetml/2006/main" count="515" uniqueCount="238">
  <si>
    <t>Fecha</t>
  </si>
  <si>
    <t>Nombre del colaborador</t>
  </si>
  <si>
    <t>Área</t>
  </si>
  <si>
    <t>Tipo de alimento</t>
  </si>
  <si>
    <t>Dirección</t>
  </si>
  <si>
    <t>Cargo</t>
  </si>
  <si>
    <t>Motivo</t>
  </si>
  <si>
    <t>Observación</t>
  </si>
  <si>
    <t>Centro de costos</t>
  </si>
  <si>
    <t>Dirección Laboratorio y SIG</t>
  </si>
  <si>
    <t>TIC</t>
  </si>
  <si>
    <t>Dirección de Planta</t>
  </si>
  <si>
    <t>Laboratorio</t>
  </si>
  <si>
    <t>Presidente</t>
  </si>
  <si>
    <t>Presidencia</t>
  </si>
  <si>
    <t>Dirección Financiera y Administrativa</t>
  </si>
  <si>
    <t>Contabilidad</t>
  </si>
  <si>
    <t>Dirección Abastecimiento y Comercialización</t>
  </si>
  <si>
    <t>Abastecimiento</t>
  </si>
  <si>
    <t>Administrativo</t>
  </si>
  <si>
    <t>Comercial</t>
  </si>
  <si>
    <t>Nombre</t>
  </si>
  <si>
    <t>Mensajero</t>
  </si>
  <si>
    <t xml:space="preserve">Producción </t>
  </si>
  <si>
    <t xml:space="preserve">Mantenimiento </t>
  </si>
  <si>
    <t xml:space="preserve">Laboratorio </t>
  </si>
  <si>
    <t xml:space="preserve">Logística </t>
  </si>
  <si>
    <t xml:space="preserve">Administrativo </t>
  </si>
  <si>
    <t xml:space="preserve">TIC </t>
  </si>
  <si>
    <t xml:space="preserve">Contabilidad </t>
  </si>
  <si>
    <t xml:space="preserve">Tesorería </t>
  </si>
  <si>
    <t xml:space="preserve">Comercial </t>
  </si>
  <si>
    <t xml:space="preserve">HSEQ </t>
  </si>
  <si>
    <t>Producción</t>
  </si>
  <si>
    <t>Logística</t>
  </si>
  <si>
    <t>Mantenimiento</t>
  </si>
  <si>
    <t>Jaime Sierra</t>
  </si>
  <si>
    <t>HSEQ</t>
  </si>
  <si>
    <t>Desayuno</t>
  </si>
  <si>
    <t>Almuerzo</t>
  </si>
  <si>
    <t>Cena</t>
  </si>
  <si>
    <t>Parada de planta</t>
  </si>
  <si>
    <t>Cobertura por novedades de personal (Incapacidad, vacaciones, entre otros)</t>
  </si>
  <si>
    <t>Visita / Reunión</t>
  </si>
  <si>
    <t>Capacitación</t>
  </si>
  <si>
    <t>Auditoría</t>
  </si>
  <si>
    <t>Extensión de horario por operación</t>
  </si>
  <si>
    <t>Otro motivo</t>
  </si>
  <si>
    <t>Almacén</t>
  </si>
  <si>
    <t>Tesorería</t>
  </si>
  <si>
    <t>Armando Valencia Leyva</t>
  </si>
  <si>
    <t>Andrea Carolina Mejía Cantillo</t>
  </si>
  <si>
    <t>Jorge Mario Maestre Peña</t>
  </si>
  <si>
    <t>Sandra Victoria Gutiérrez Caro</t>
  </si>
  <si>
    <t>Lucely Libet Cardona Ángel</t>
  </si>
  <si>
    <t>Nuris María Delaytz Cabas</t>
  </si>
  <si>
    <t>Diana Carolina Pardo Fernández</t>
  </si>
  <si>
    <t>Gonzalo Manuel Urueta Salazar</t>
  </si>
  <si>
    <t>Julián Andrés Vecino Acelas</t>
  </si>
  <si>
    <t>Mabel Cantillo Machado</t>
  </si>
  <si>
    <t>Andrea Carolina Petro Doria</t>
  </si>
  <si>
    <t>Dilan Alexander Joiro Ayala</t>
  </si>
  <si>
    <t>Lila Sofía Villalba Meriño</t>
  </si>
  <si>
    <t>Ana Karina Castillo Mosquera</t>
  </si>
  <si>
    <t>Katia Angélica Serrano Roa</t>
  </si>
  <si>
    <t>María del Pilar Fontalvo Rodríguez</t>
  </si>
  <si>
    <t>Angie Marcela Duarte Moreno</t>
  </si>
  <si>
    <t>Alejandro Morales Paredes</t>
  </si>
  <si>
    <t>José Eduardo Urbina Bustamante</t>
  </si>
  <si>
    <t>Carlos Vásquez Osorio</t>
  </si>
  <si>
    <t>Yarelis Zuleth Reyes Berrío</t>
  </si>
  <si>
    <t>Nelys Esther Ropero Durán</t>
  </si>
  <si>
    <t>Zamir Ortiz Gutiérrez</t>
  </si>
  <si>
    <t>Sergio Andrés Cantillo Polo</t>
  </si>
  <si>
    <t>Oscar De Jesús Carrascal López</t>
  </si>
  <si>
    <t>Karel Naniuska Vásquez Núñez</t>
  </si>
  <si>
    <t>Jessica Paola León Díaz</t>
  </si>
  <si>
    <t>Danis Andrés Solano Coronado</t>
  </si>
  <si>
    <t>Edgar Justin Peláez Taborda</t>
  </si>
  <si>
    <t>Marcela Bernal Galindo</t>
  </si>
  <si>
    <t>Ligia María Ochoa Herrera</t>
  </si>
  <si>
    <t>Samir Eduardo Ruiz Mendoza</t>
  </si>
  <si>
    <t>Danilo José Coronell Navarro</t>
  </si>
  <si>
    <t>Jeison Javier Sanguino Rodríguez</t>
  </si>
  <si>
    <t>Jonathan David Manjarres Vélez</t>
  </si>
  <si>
    <t>Ángel David Trujillo Russo</t>
  </si>
  <si>
    <t>Sindy Lorena Cucunuba Royero</t>
  </si>
  <si>
    <t>Cristian Cantillo Orozco</t>
  </si>
  <si>
    <t>Wilfrido Segundo Cantillo Andrade</t>
  </si>
  <si>
    <t>Luis Carlos Nigrinis Álvarez</t>
  </si>
  <si>
    <t>Erick Rafael Barros Vargas</t>
  </si>
  <si>
    <t>José Gregorio Castañeda Anillo</t>
  </si>
  <si>
    <t>Nemias De Jesús Araque Osorio</t>
  </si>
  <si>
    <t>Julio César Fonseca Fonseca</t>
  </si>
  <si>
    <t>Carlos Moisés Alvarado Rivaldo</t>
  </si>
  <si>
    <t>Hilmer Alexander Chiquillo Cabrera</t>
  </si>
  <si>
    <t>Luis Alberto Prado Acosta</t>
  </si>
  <si>
    <t>Jeisson David Guaitero Romero</t>
  </si>
  <si>
    <t>José René Osorio Bolívar</t>
  </si>
  <si>
    <t>Jorge Luis Florez Hernández</t>
  </si>
  <si>
    <t>Luis Fernando Fontanilla Codina</t>
  </si>
  <si>
    <t>Gilver Toquica Sepúlveda</t>
  </si>
  <si>
    <t>Andrés Felipe Caicedo Naranjo</t>
  </si>
  <si>
    <t>Eva Nasser Lara Arrazola</t>
  </si>
  <si>
    <t>José Manuel Rodríguez Rueda</t>
  </si>
  <si>
    <t>Jaime Gregorio Vives Pinedo</t>
  </si>
  <si>
    <t>Jorge Luis Oñate Díaz</t>
  </si>
  <si>
    <t>Ismael Enrique Torres Manga</t>
  </si>
  <si>
    <t>Juan Camilo Jaramillo Maiguel</t>
  </si>
  <si>
    <t>Jesús Alberto Pérez Rodríguez</t>
  </si>
  <si>
    <t>Wilson Junior Rodríguez Carrillo</t>
  </si>
  <si>
    <t>Fernando García Sánchez</t>
  </si>
  <si>
    <t>Leiner Gómez Pabón</t>
  </si>
  <si>
    <t>Reynjar Yeffry Cabaña Castro</t>
  </si>
  <si>
    <t>Manuel Segundo Montenegro Lara</t>
  </si>
  <si>
    <t>Carlos Alberto Jiménez Pérez</t>
  </si>
  <si>
    <t>Frank Arley Manjarres Rodríguez</t>
  </si>
  <si>
    <t>Efrén Martínez Garcés</t>
  </si>
  <si>
    <t>Luis Javier Torres Caballero</t>
  </si>
  <si>
    <t>José Daniel Mendívil Blanco</t>
  </si>
  <si>
    <t>Roy Alberto García Ibarra</t>
  </si>
  <si>
    <t>Daniel Andrés Chaparro Restrepo</t>
  </si>
  <si>
    <t>Félix Perea Rodríguez</t>
  </si>
  <si>
    <t>Ronald Andrés Rodríguez Suárez</t>
  </si>
  <si>
    <t>José Eduardo Díaz Granados Ballena</t>
  </si>
  <si>
    <t>Yoicer Miguel Granados Luna</t>
  </si>
  <si>
    <t>Diego Fernando Meneses Zabaleta</t>
  </si>
  <si>
    <t>Luis Eduardo Jaramillo Bustamante</t>
  </si>
  <si>
    <t>Laura Zulyet Martínez Rodríguez</t>
  </si>
  <si>
    <t>Emelín Encizo Blanco</t>
  </si>
  <si>
    <t>José David Angulo Romero</t>
  </si>
  <si>
    <t>Juan Camilo Bolaño Bahóquez</t>
  </si>
  <si>
    <t>Ioscar Gutiérrez Montenegro</t>
  </si>
  <si>
    <t>Elizabeth Orozco González</t>
  </si>
  <si>
    <t>Daniela Lacouture Castillo</t>
  </si>
  <si>
    <t>Wooedy Rosner Watson Salcedo</t>
  </si>
  <si>
    <t>John Henry Rojas Prada</t>
  </si>
  <si>
    <t>Jean Carlos Leones Padilla</t>
  </si>
  <si>
    <t>Norchelys Carolina Barros Rusinque</t>
  </si>
  <si>
    <t>Dirección Abastecimiento y Comercialización</t>
  </si>
  <si>
    <t>Asistente de Abastecimiento</t>
  </si>
  <si>
    <t>Dirección resumen</t>
  </si>
  <si>
    <t>Dirección de Planta</t>
  </si>
  <si>
    <t>Dirección Laboratorio y SIG</t>
  </si>
  <si>
    <t>Analista de Abastecimiento</t>
  </si>
  <si>
    <t>Dirección Financiera y Administrativa</t>
  </si>
  <si>
    <t xml:space="preserve">Comercio Exterior </t>
  </si>
  <si>
    <t>Presidencia </t>
  </si>
  <si>
    <t>Auxiliar Servicios Generales Administrativo</t>
  </si>
  <si>
    <t>Dir. Abastecimiento y Comercialización</t>
  </si>
  <si>
    <t>Asistente Administrativa</t>
  </si>
  <si>
    <t>Analista Administrativo</t>
  </si>
  <si>
    <t>Auxiliar de Almacén</t>
  </si>
  <si>
    <t xml:space="preserve">Servicios Industriales </t>
  </si>
  <si>
    <t>Dir. de Planta</t>
  </si>
  <si>
    <t>Analista de Inventarios</t>
  </si>
  <si>
    <t>Coordinador Comercial</t>
  </si>
  <si>
    <t>Analista de Comercio Exterior</t>
  </si>
  <si>
    <t xml:space="preserve">Gestión Humana </t>
  </si>
  <si>
    <t>Jefe de Comercio Exterior e Inventarios</t>
  </si>
  <si>
    <t xml:space="preserve">Planeación Financiera </t>
  </si>
  <si>
    <t>Aprendiz Contabilidad y Tesorería</t>
  </si>
  <si>
    <t> </t>
  </si>
  <si>
    <t>Auxiliar de Contabilidad</t>
  </si>
  <si>
    <t>Asistente de Contabilidad</t>
  </si>
  <si>
    <t>Dir. Financiera y Administrativa</t>
  </si>
  <si>
    <t>Analista de Impuestos</t>
  </si>
  <si>
    <t>Gestión Documental</t>
  </si>
  <si>
    <t>Jefe de Contabilidad</t>
  </si>
  <si>
    <t xml:space="preserve">Control Interno </t>
  </si>
  <si>
    <t>Coordinadora Control Interno</t>
  </si>
  <si>
    <t>Directora de Abastecimiento y Comercialización</t>
  </si>
  <si>
    <t>Dir. Laboratorio y SIG</t>
  </si>
  <si>
    <t>Director de Laboratorio y SIG</t>
  </si>
  <si>
    <t>Director de Planta</t>
  </si>
  <si>
    <t>Aprendiz Documentación</t>
  </si>
  <si>
    <t>Asistente Documentación</t>
  </si>
  <si>
    <t>Asistente de Gestión Humana</t>
  </si>
  <si>
    <t>Analista de Gestión Humana</t>
  </si>
  <si>
    <t>Jefe de Gestión Humana y Administrativo</t>
  </si>
  <si>
    <t>Operario de Servicios Generales</t>
  </si>
  <si>
    <t>Auxiliar HSEQ</t>
  </si>
  <si>
    <t>Analista HSEQ</t>
  </si>
  <si>
    <t>Analista de Mejoramiento Continuo</t>
  </si>
  <si>
    <t>Jefe HSEQ</t>
  </si>
  <si>
    <t>Analista de Laboratorio</t>
  </si>
  <si>
    <t>Coordinadora de Aseguramiento de Calidad</t>
  </si>
  <si>
    <t>Jefe de Control de Calidad</t>
  </si>
  <si>
    <t>Operario Cargue y Descargue</t>
  </si>
  <si>
    <t>Jefe de Logística</t>
  </si>
  <si>
    <t>Aprendiz Soldadura</t>
  </si>
  <si>
    <t>Aprendiz Eléctrico</t>
  </si>
  <si>
    <t>Auxiliar de Mantenimiento Mecánico</t>
  </si>
  <si>
    <t>Técnico Soldador</t>
  </si>
  <si>
    <t>Técnico Instrumentista</t>
  </si>
  <si>
    <t>Técnico en Mantenimiento Eléctrico</t>
  </si>
  <si>
    <t>Técnico en Mantenimiento Mecánico</t>
  </si>
  <si>
    <t>Analista de Mantenimiento</t>
  </si>
  <si>
    <t>Coordinador de Mantenimiento Eléctrico</t>
  </si>
  <si>
    <t>Coordinador de Mantenimiento Mecánico</t>
  </si>
  <si>
    <t>Jefe de Mantenimiento</t>
  </si>
  <si>
    <t>Auxiliar Financiero</t>
  </si>
  <si>
    <t>Jefe de Planeación Financiera</t>
  </si>
  <si>
    <t>Conductor de Presidencia</t>
  </si>
  <si>
    <t>Auxiliar de Servicios Generales</t>
  </si>
  <si>
    <t>Auxiliar ISBL</t>
  </si>
  <si>
    <t>Operario ISBL</t>
  </si>
  <si>
    <t>Coordinador de Producción</t>
  </si>
  <si>
    <t>Jefe de Planeación y Mejoras de Producción</t>
  </si>
  <si>
    <t>Jefe de Operación de Producción</t>
  </si>
  <si>
    <t>Aprendiz Servicios Industriales OSBL</t>
  </si>
  <si>
    <t>Operario de Servicios Industriales OSBL</t>
  </si>
  <si>
    <t>Jefe de Proyectos y Servicios Industriales</t>
  </si>
  <si>
    <t>Analista Tesorería</t>
  </si>
  <si>
    <t>Jefe de Tesorería</t>
  </si>
  <si>
    <t>Asistente TIC</t>
  </si>
  <si>
    <t>Jefe TIC</t>
  </si>
  <si>
    <t>Director Financiero y Administrativo</t>
  </si>
  <si>
    <t>Asistente Logístico</t>
  </si>
  <si>
    <t>Osnaider Suescun</t>
  </si>
  <si>
    <t>Jorge Armando Muñoz Caballero</t>
  </si>
  <si>
    <t>Natalia Michelle Yepez Hernandez</t>
  </si>
  <si>
    <t>Yesid Mauricio Casanova Mejía</t>
  </si>
  <si>
    <t>Andrés Felipe Hernández Estrada</t>
  </si>
  <si>
    <t>SI(C2="";"";SI.ERROR(BUSCARV(C2;BD!D:E;2;0);""))</t>
  </si>
  <si>
    <t>C. de costos Alimentación</t>
  </si>
  <si>
    <t>C. de costos Taxis</t>
  </si>
  <si>
    <t>Origen y destino</t>
  </si>
  <si>
    <t>Origen: Casa - Destino: Bgreen</t>
  </si>
  <si>
    <t>Origen: Bgreen - Destino: Casa</t>
  </si>
  <si>
    <t>Mes</t>
  </si>
  <si>
    <t>"_"&amp;MES(HOY())</t>
  </si>
  <si>
    <t>Origen: Bgreen - Destino: OLC</t>
  </si>
  <si>
    <t>Origen: OLC - Destino: Bgreen</t>
  </si>
  <si>
    <t>Otro</t>
  </si>
  <si>
    <t>Juan Bolaño</t>
  </si>
  <si>
    <t>Jose Angulo</t>
  </si>
  <si>
    <t>Andres Avila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</si>
</sst>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[=95]&quot; &quot;;@\ "/>
    <numFmt numFmtId="165" formatCode="d/mm/yyyy;@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Aptos"/>
      <family val="2"/>
    </font>
    <font>
      <b/>
      <sz val="10"/>
      <name val="Aptos"/>
      <family val="2"/>
    </font>
    <font>
      <sz val="10"/>
      <color theme="1"/>
      <name val="Aptos"/>
      <family val="2"/>
    </font>
    <font>
      <sz val="10"/>
      <name val="Aptos"/>
      <family val="2"/>
    </font>
    <font>
      <sz val="11"/>
      <color indexed="8"/>
      <name val="Calibri"/>
      <family val="2"/>
      <scheme val="minor"/>
    </font>
    <font>
      <sz val="10"/>
      <color theme="0" tint="-0.14999847407452621"/>
      <name val="Aptos"/>
      <family val="2"/>
    </font>
    <font>
      <sz val="10"/>
      <color theme="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B7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4" fillId="0" borderId="0"/>
    <xf numFmtId="44" fontId="2" fillId="0" borderId="0" applyFont="0" applyFill="0" applyBorder="0" applyAlignment="0" applyProtection="0"/>
    <xf numFmtId="0" fontId="9" fillId="0" borderId="0"/>
  </cellStyleXfs>
  <cellXfs count="39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14" fontId="7" fillId="0" borderId="1" xfId="0" applyNumberFormat="1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14" fontId="7" fillId="0" borderId="0" xfId="0" applyNumberFormat="1" applyFont="1" applyAlignment="1">
      <alignment horizontal="left" vertical="center" wrapText="1"/>
    </xf>
    <xf numFmtId="14" fontId="5" fillId="0" borderId="0" xfId="0" applyNumberFormat="1" applyFont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164" fontId="7" fillId="0" borderId="1" xfId="0" applyNumberFormat="1" applyFont="1" applyBorder="1" applyAlignment="1" applyProtection="1">
      <alignment horizontal="center" vertical="center" wrapText="1"/>
      <protection locked="0"/>
    </xf>
    <xf numFmtId="164" fontId="7" fillId="0" borderId="1" xfId="0" applyNumberFormat="1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5" borderId="1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top" wrapText="1"/>
    </xf>
    <xf numFmtId="165" fontId="7" fillId="0" borderId="1" xfId="0" applyNumberFormat="1" applyFont="1" applyBorder="1" applyAlignment="1" applyProtection="1">
      <alignment horizontal="center" vertical="center" wrapText="1"/>
      <protection locked="0"/>
    </xf>
    <xf numFmtId="165" fontId="7" fillId="0" borderId="0" xfId="0" applyNumberFormat="1" applyFont="1" applyAlignment="1" applyProtection="1">
      <alignment horizontal="center" vertical="center" wrapText="1"/>
      <protection locked="0"/>
    </xf>
    <xf numFmtId="14" fontId="7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 applyProtection="1">
      <alignment horizontal="center" vertical="center" wrapText="1"/>
      <protection locked="0"/>
    </xf>
    <xf numFmtId="164" fontId="7" fillId="0" borderId="2" xfId="0" applyNumberFormat="1" applyFont="1" applyBorder="1" applyAlignment="1" applyProtection="1">
      <alignment horizontal="left" vertical="center" wrapText="1"/>
      <protection locked="0"/>
    </xf>
    <xf numFmtId="0" fontId="5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4" xfId="0" applyFont="1" applyFill="1" applyBorder="1" applyAlignment="1" applyProtection="1">
      <alignment horizontal="center" vertical="center" wrapText="1"/>
      <protection locked="0"/>
    </xf>
    <xf numFmtId="0" fontId="5" fillId="2" borderId="4" xfId="0" applyFont="1" applyFill="1" applyBorder="1" applyAlignment="1">
      <alignment horizontal="center" vertical="center" wrapText="1"/>
    </xf>
    <xf numFmtId="165" fontId="7" fillId="0" borderId="5" xfId="0" applyNumberFormat="1" applyFont="1" applyBorder="1" applyAlignment="1" applyProtection="1">
      <alignment horizontal="center" vertical="center" wrapText="1"/>
      <protection locked="0"/>
    </xf>
    <xf numFmtId="164" fontId="7" fillId="0" borderId="2" xfId="0" applyNumberFormat="1" applyFont="1" applyBorder="1" applyAlignment="1" applyProtection="1">
      <alignment horizontal="center" vertical="center" wrapText="1"/>
      <protection locked="0"/>
    </xf>
    <xf numFmtId="164" fontId="7" fillId="0" borderId="6" xfId="0" applyNumberFormat="1" applyFont="1" applyBorder="1" applyAlignment="1" applyProtection="1">
      <alignment horizontal="center" vertical="center" wrapText="1"/>
      <protection locked="0"/>
    </xf>
  </cellXfs>
  <cellStyles count="8">
    <cellStyle name="Moneda 2" xfId="6" xr:uid="{390D4605-F117-4B42-AAEE-CB2923B6F2C9}"/>
    <cellStyle name="Normal" xfId="0" builtinId="0"/>
    <cellStyle name="Normal 2" xfId="1" xr:uid="{00000000-0005-0000-0000-000003000000}"/>
    <cellStyle name="Normal 2 14" xfId="2" xr:uid="{00000000-0005-0000-0000-000004000000}"/>
    <cellStyle name="Normal 2 2" xfId="4" xr:uid="{47F2BE2F-9024-423C-8649-23E06BE6CE05}"/>
    <cellStyle name="Normal 3" xfId="3" xr:uid="{735B39E8-43A7-4C10-8E1F-B1AD17043E35}"/>
    <cellStyle name="Normal 4" xfId="5" xr:uid="{B9863224-BE8D-430C-8E62-CD30A504E515}"/>
    <cellStyle name="Normal 5" xfId="7" xr:uid="{92DE77DC-089E-4BD5-A8CF-E453D862BA0A}"/>
  </cellStyles>
  <dxfs count="0"/>
  <tableStyles count="0" defaultTableStyle="TableStyleMedium2" defaultPivotStyle="PivotStyleLight16"/>
  <colors>
    <mruColors>
      <color rgb="FFFFFFB7"/>
      <color rgb="FFD2EBB7"/>
      <color rgb="FFA2D668"/>
      <color rgb="FFFF3300"/>
      <color rgb="FFD4C0EE"/>
      <color rgb="FFFF99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355F5-8086-436C-BADC-4784B27F7A63}">
  <sheetPr codeName="Hoja1">
    <tabColor rgb="FFD2EBB7"/>
  </sheetPr>
  <dimension ref="A1:X102"/>
  <sheetViews>
    <sheetView showGridLines="0" zoomScale="85" zoomScaleNormal="85" workbookViewId="0">
      <pane ySplit="1" topLeftCell="A2" activePane="bottomLeft" state="frozen"/>
      <selection pane="bottomLeft" activeCell="A5" sqref="A5"/>
    </sheetView>
  </sheetViews>
  <sheetFormatPr baseColWidth="10" defaultColWidth="0" defaultRowHeight="13.8" zeroHeight="1" x14ac:dyDescent="0.3"/>
  <cols>
    <col min="1" max="1" width="14.5546875" style="29" customWidth="1"/>
    <col min="2" max="2" width="23.5546875" style="24" customWidth="1"/>
    <col min="3" max="4" width="20.5546875" style="20" customWidth="1"/>
    <col min="5" max="5" width="24.5546875" style="20" customWidth="1"/>
    <col min="6" max="6" width="20.5546875" style="20" customWidth="1"/>
    <col min="7" max="7" width="14.5546875" style="26" customWidth="1"/>
    <col min="8" max="8" width="20.5546875" style="24" customWidth="1"/>
    <col min="9" max="9" width="30.5546875" style="24" customWidth="1"/>
    <col min="10" max="10" width="3.109375" style="20" hidden="1" customWidth="1"/>
    <col min="11" max="16384" width="10.6640625" style="21" hidden="1"/>
  </cols>
  <sheetData>
    <row r="1" spans="1:24" ht="27.6" x14ac:dyDescent="0.3">
      <c r="A1" s="33" t="s">
        <v>0</v>
      </c>
      <c r="B1" s="34" t="s">
        <v>4</v>
      </c>
      <c r="C1" s="34" t="s">
        <v>2</v>
      </c>
      <c r="D1" s="34" t="s">
        <v>5</v>
      </c>
      <c r="E1" s="34" t="s">
        <v>1</v>
      </c>
      <c r="F1" s="34" t="s">
        <v>3</v>
      </c>
      <c r="G1" s="35" t="s">
        <v>8</v>
      </c>
      <c r="H1" s="34" t="s">
        <v>6</v>
      </c>
      <c r="I1" s="19" t="s">
        <v>7</v>
      </c>
      <c r="J1" s="31" t="str">
        <f ca="1">"_"&amp;MONTH(TODAY())</f>
        <v>_10</v>
      </c>
    </row>
    <row r="2" spans="1:24" ht="24" customHeight="1" x14ac:dyDescent="0.3">
      <c r="A2" s="36">
        <v>45948</v>
      </c>
      <c r="B2" s="23" t="s">
        <v>145</v>
      </c>
      <c r="C2" s="22" t="s">
        <v>28</v>
      </c>
      <c r="D2" s="22" t="s">
        <v>216</v>
      </c>
      <c r="E2" s="22" t="s">
        <v>235</v>
      </c>
      <c r="F2" s="22" t="s">
        <v>40</v>
      </c>
      <c r="G2" s="25">
        <f>IF(C2="","",IFERROR(VLOOKUP(C2,BD!D:F,2,0),""))</f>
        <v>140301</v>
      </c>
      <c r="H2" s="23" t="s">
        <v>47</v>
      </c>
      <c r="I2" s="23"/>
    </row>
    <row r="3" spans="1:24" ht="24" customHeight="1" x14ac:dyDescent="0.3">
      <c r="A3" s="36">
        <v>45948</v>
      </c>
      <c r="B3" s="23" t="s">
        <v>145</v>
      </c>
      <c r="C3" s="22" t="s">
        <v>28</v>
      </c>
      <c r="D3" s="22" t="s">
        <v>215</v>
      </c>
      <c r="E3" s="22" t="s">
        <v>236</v>
      </c>
      <c r="F3" s="22" t="s">
        <v>40</v>
      </c>
      <c r="G3" s="25">
        <f>IF(C3="","",IFERROR(VLOOKUP(C3,BD!D:F,2,0),""))</f>
        <v>140301</v>
      </c>
      <c r="H3" s="23" t="s">
        <v>47</v>
      </c>
      <c r="I3" s="23"/>
    </row>
    <row r="4" spans="1:24" ht="24" customHeight="1" x14ac:dyDescent="0.3">
      <c r="A4" s="36">
        <v>45948</v>
      </c>
      <c r="B4" s="23" t="s">
        <v>145</v>
      </c>
      <c r="C4" s="22" t="s">
        <v>28</v>
      </c>
      <c r="D4" s="22"/>
      <c r="E4" s="22" t="s">
        <v>237</v>
      </c>
      <c r="F4" s="22" t="s">
        <v>40</v>
      </c>
      <c r="G4" s="25">
        <f>IF(C4="","",IFERROR(VLOOKUP(C4,BD!D:F,2,0),""))</f>
        <v>140301</v>
      </c>
      <c r="H4" s="23" t="s">
        <v>47</v>
      </c>
      <c r="I4" s="23"/>
    </row>
    <row r="5" spans="1:24" ht="24" customHeight="1" x14ac:dyDescent="0.3">
      <c r="A5" s="36"/>
      <c r="B5" s="23"/>
      <c r="C5" s="22"/>
      <c r="D5" s="22"/>
      <c r="E5" s="22"/>
      <c r="F5" s="22"/>
      <c r="G5" s="25" t="str">
        <f>IF(C5="","",IFERROR(VLOOKUP(C5,BD!D:F,2,0),""))</f>
        <v/>
      </c>
      <c r="H5" s="23"/>
      <c r="I5" s="23"/>
    </row>
    <row r="6" spans="1:24" ht="24" customHeight="1" x14ac:dyDescent="0.3">
      <c r="A6" s="36"/>
      <c r="B6" s="23"/>
      <c r="C6" s="22"/>
      <c r="D6" s="22"/>
      <c r="E6" s="22"/>
      <c r="F6" s="22"/>
      <c r="G6" s="25" t="str">
        <f>IF(C6="","",IFERROR(VLOOKUP(C6,BD!D:F,2,0),""))</f>
        <v/>
      </c>
      <c r="H6" s="23"/>
      <c r="I6" s="23"/>
    </row>
    <row r="7" spans="1:24" ht="24" customHeight="1" x14ac:dyDescent="0.3">
      <c r="A7" s="36"/>
      <c r="B7" s="23"/>
      <c r="C7" s="22"/>
      <c r="D7" s="22"/>
      <c r="E7" s="22"/>
      <c r="F7" s="22"/>
      <c r="G7" s="25" t="str">
        <f>IF(C7="","",IFERROR(VLOOKUP(C7,BD!D:F,2,0),""))</f>
        <v/>
      </c>
      <c r="H7" s="23"/>
      <c r="I7" s="23"/>
    </row>
    <row r="8" spans="1:24" ht="24" customHeight="1" x14ac:dyDescent="0.3">
      <c r="A8" s="36"/>
      <c r="B8" s="23"/>
      <c r="C8" s="22"/>
      <c r="D8" s="22"/>
      <c r="E8" s="22"/>
      <c r="F8" s="22"/>
      <c r="G8" s="25" t="str">
        <f>IF(C8="","",IFERROR(VLOOKUP(C8,BD!D:F,2,0),""))</f>
        <v/>
      </c>
      <c r="H8" s="23"/>
      <c r="I8" s="23"/>
    </row>
    <row r="9" spans="1:24" ht="24" customHeight="1" x14ac:dyDescent="0.3">
      <c r="A9" s="36"/>
      <c r="B9" s="23"/>
      <c r="C9" s="22"/>
      <c r="D9" s="22"/>
      <c r="E9" s="22"/>
      <c r="F9" s="22"/>
      <c r="G9" s="25" t="str">
        <f>IF(C9="","",IFERROR(VLOOKUP(C9,BD!D:F,2,0),""))</f>
        <v/>
      </c>
      <c r="H9" s="23"/>
      <c r="I9" s="23"/>
    </row>
    <row r="10" spans="1:24" ht="24" customHeight="1" x14ac:dyDescent="0.3">
      <c r="A10" s="36"/>
      <c r="B10" s="23"/>
      <c r="C10" s="22"/>
      <c r="D10" s="22"/>
      <c r="E10" s="22"/>
      <c r="F10" s="22"/>
      <c r="G10" s="25" t="str">
        <f>IF(C10="","",IFERROR(VLOOKUP(C10,BD!D:F,2,0),""))</f>
        <v/>
      </c>
      <c r="H10" s="23"/>
      <c r="I10" s="23"/>
    </row>
    <row r="11" spans="1:24" ht="24" customHeight="1" x14ac:dyDescent="0.3">
      <c r="A11" s="36"/>
      <c r="B11" s="23"/>
      <c r="C11" s="22"/>
      <c r="D11" s="22"/>
      <c r="E11" s="22"/>
      <c r="F11" s="22"/>
      <c r="G11" s="25" t="str">
        <f>IF(C11="","",IFERROR(VLOOKUP(C11,BD!D:F,2,0),""))</f>
        <v/>
      </c>
      <c r="H11" s="23"/>
      <c r="I11" s="23"/>
    </row>
    <row r="12" spans="1:24" ht="24" customHeight="1" x14ac:dyDescent="0.3">
      <c r="A12" s="36"/>
      <c r="B12" s="23"/>
      <c r="C12" s="22"/>
      <c r="D12" s="22"/>
      <c r="E12" s="22"/>
      <c r="F12" s="22"/>
      <c r="G12" s="25" t="str">
        <f>IF(C12="","",IFERROR(VLOOKUP(C12,BD!D:F,2,0),""))</f>
        <v/>
      </c>
      <c r="H12" s="23"/>
      <c r="I12" s="23"/>
    </row>
    <row r="13" spans="1:24" ht="24" customHeight="1" x14ac:dyDescent="0.3">
      <c r="A13" s="36"/>
      <c r="B13" s="23"/>
      <c r="C13" s="22"/>
      <c r="D13" s="22"/>
      <c r="E13" s="22"/>
      <c r="F13" s="22"/>
      <c r="G13" s="25" t="str">
        <f>IF(C13="","",IFERROR(VLOOKUP(C13,BD!D:F,2,0),""))</f>
        <v/>
      </c>
      <c r="H13" s="23"/>
      <c r="I13" s="23"/>
    </row>
    <row r="14" spans="1:24" ht="24" customHeight="1" x14ac:dyDescent="0.3">
      <c r="A14" s="36"/>
      <c r="B14" s="23"/>
      <c r="C14" s="22"/>
      <c r="D14" s="22"/>
      <c r="E14" s="22"/>
      <c r="F14" s="22"/>
      <c r="G14" s="25" t="str">
        <f>IF(C14="","",IFERROR(VLOOKUP(C14,BD!D:F,2,0),""))</f>
        <v/>
      </c>
      <c r="H14" s="23"/>
      <c r="I14" s="23"/>
    </row>
    <row r="15" spans="1:24" ht="24" customHeight="1" x14ac:dyDescent="0.3">
      <c r="A15" s="36"/>
      <c r="B15" s="23"/>
      <c r="C15" s="22"/>
      <c r="D15" s="22"/>
      <c r="E15" s="22"/>
      <c r="F15" s="22"/>
      <c r="G15" s="25" t="str">
        <f>IF(C15="","",IFERROR(VLOOKUP(C15,BD!D:F,2,0),""))</f>
        <v/>
      </c>
      <c r="H15" s="23"/>
      <c r="I15" s="23"/>
    </row>
    <row r="16" spans="1:24" s="20" customFormat="1" ht="24" customHeight="1" x14ac:dyDescent="0.3">
      <c r="A16" s="36"/>
      <c r="B16" s="23"/>
      <c r="C16" s="22"/>
      <c r="D16" s="22"/>
      <c r="E16" s="22"/>
      <c r="F16" s="22"/>
      <c r="G16" s="25" t="str">
        <f>IF(C16="","",IFERROR(VLOOKUP(C16,BD!D:F,2,0),""))</f>
        <v/>
      </c>
      <c r="H16" s="23"/>
      <c r="I16" s="23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</row>
    <row r="17" spans="1:24" s="20" customFormat="1" ht="24" customHeight="1" x14ac:dyDescent="0.3">
      <c r="A17" s="36"/>
      <c r="B17" s="23"/>
      <c r="C17" s="22"/>
      <c r="D17" s="22"/>
      <c r="E17" s="22"/>
      <c r="F17" s="22"/>
      <c r="G17" s="25" t="str">
        <f>IF(C17="","",IFERROR(VLOOKUP(C17,BD!D:F,2,0),""))</f>
        <v/>
      </c>
      <c r="H17" s="23"/>
      <c r="I17" s="23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 spans="1:24" s="20" customFormat="1" ht="24" customHeight="1" x14ac:dyDescent="0.3">
      <c r="A18" s="36"/>
      <c r="B18" s="23"/>
      <c r="C18" s="22"/>
      <c r="D18" s="22"/>
      <c r="E18" s="22"/>
      <c r="F18" s="22"/>
      <c r="G18" s="25" t="str">
        <f>IF(C18="","",IFERROR(VLOOKUP(C18,BD!D:F,2,0),""))</f>
        <v/>
      </c>
      <c r="H18" s="23"/>
      <c r="I18" s="23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 spans="1:24" s="20" customFormat="1" ht="24" customHeight="1" x14ac:dyDescent="0.3">
      <c r="A19" s="36"/>
      <c r="B19" s="23"/>
      <c r="C19" s="22"/>
      <c r="D19" s="22"/>
      <c r="E19" s="22"/>
      <c r="F19" s="22"/>
      <c r="G19" s="25" t="str">
        <f>IF(C19="","",IFERROR(VLOOKUP(C19,BD!D:F,2,0),""))</f>
        <v/>
      </c>
      <c r="H19" s="23"/>
      <c r="I19" s="23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 spans="1:24" s="20" customFormat="1" ht="24" customHeight="1" x14ac:dyDescent="0.3">
      <c r="A20" s="36"/>
      <c r="B20" s="23"/>
      <c r="C20" s="22"/>
      <c r="D20" s="22"/>
      <c r="E20" s="22"/>
      <c r="F20" s="22"/>
      <c r="G20" s="25" t="str">
        <f>IF(C20="","",IFERROR(VLOOKUP(C20,BD!D:F,2,0),""))</f>
        <v/>
      </c>
      <c r="H20" s="23"/>
      <c r="I20" s="23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</row>
    <row r="21" spans="1:24" s="20" customFormat="1" ht="24" customHeight="1" x14ac:dyDescent="0.3">
      <c r="A21" s="36"/>
      <c r="B21" s="23"/>
      <c r="C21" s="22"/>
      <c r="D21" s="22"/>
      <c r="E21" s="22"/>
      <c r="F21" s="22"/>
      <c r="G21" s="25" t="str">
        <f>IF(C21="","",IFERROR(VLOOKUP(C21,BD!D:F,2,0),""))</f>
        <v/>
      </c>
      <c r="H21" s="23"/>
      <c r="I21" s="23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</row>
    <row r="22" spans="1:24" s="20" customFormat="1" ht="24" customHeight="1" x14ac:dyDescent="0.3">
      <c r="A22" s="36"/>
      <c r="B22" s="23"/>
      <c r="C22" s="22"/>
      <c r="D22" s="22"/>
      <c r="E22" s="22"/>
      <c r="F22" s="22"/>
      <c r="G22" s="25" t="str">
        <f>IF(C22="","",IFERROR(VLOOKUP(C22,BD!D:F,2,0),""))</f>
        <v/>
      </c>
      <c r="H22" s="23"/>
      <c r="I22" s="23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 spans="1:24" s="20" customFormat="1" ht="24" customHeight="1" x14ac:dyDescent="0.3">
      <c r="A23" s="36"/>
      <c r="B23" s="23"/>
      <c r="C23" s="22"/>
      <c r="D23" s="22"/>
      <c r="E23" s="22"/>
      <c r="F23" s="22"/>
      <c r="G23" s="25" t="str">
        <f>IF(C23="","",IFERROR(VLOOKUP(C23,BD!D:F,2,0),""))</f>
        <v/>
      </c>
      <c r="H23" s="23"/>
      <c r="I23" s="23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</row>
    <row r="24" spans="1:24" s="20" customFormat="1" ht="24" customHeight="1" x14ac:dyDescent="0.3">
      <c r="A24" s="36"/>
      <c r="B24" s="23"/>
      <c r="C24" s="22"/>
      <c r="D24" s="22"/>
      <c r="E24" s="22"/>
      <c r="F24" s="22"/>
      <c r="G24" s="25" t="str">
        <f>IF(C24="","",IFERROR(VLOOKUP(C24,BD!D:F,2,0),""))</f>
        <v/>
      </c>
      <c r="H24" s="23"/>
      <c r="I24" s="23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 spans="1:24" s="20" customFormat="1" ht="24" customHeight="1" x14ac:dyDescent="0.3">
      <c r="A25" s="36"/>
      <c r="B25" s="23"/>
      <c r="C25" s="22"/>
      <c r="D25" s="22"/>
      <c r="E25" s="22"/>
      <c r="F25" s="22"/>
      <c r="G25" s="25" t="str">
        <f>IF(C25="","",IFERROR(VLOOKUP(C25,BD!D:F,2,0),""))</f>
        <v/>
      </c>
      <c r="H25" s="23"/>
      <c r="I25" s="23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6" spans="1:24" s="20" customFormat="1" ht="24" customHeight="1" x14ac:dyDescent="0.3">
      <c r="A26" s="36"/>
      <c r="B26" s="23"/>
      <c r="C26" s="22"/>
      <c r="D26" s="22"/>
      <c r="E26" s="22"/>
      <c r="F26" s="22"/>
      <c r="G26" s="25" t="str">
        <f>IF(C26="","",IFERROR(VLOOKUP(C26,BD!D:F,2,0),""))</f>
        <v/>
      </c>
      <c r="H26" s="23"/>
      <c r="I26" s="23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</row>
    <row r="27" spans="1:24" s="20" customFormat="1" ht="24" customHeight="1" x14ac:dyDescent="0.3">
      <c r="A27" s="36"/>
      <c r="B27" s="23"/>
      <c r="C27" s="22"/>
      <c r="D27" s="22"/>
      <c r="E27" s="22"/>
      <c r="F27" s="22"/>
      <c r="G27" s="25" t="str">
        <f>IF(C27="","",IFERROR(VLOOKUP(C27,BD!D:F,2,0),""))</f>
        <v/>
      </c>
      <c r="H27" s="23"/>
      <c r="I27" s="23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 spans="1:24" s="20" customFormat="1" ht="24" customHeight="1" x14ac:dyDescent="0.3">
      <c r="A28" s="36"/>
      <c r="B28" s="23"/>
      <c r="C28" s="22"/>
      <c r="D28" s="22"/>
      <c r="E28" s="22"/>
      <c r="F28" s="22"/>
      <c r="G28" s="25" t="str">
        <f>IF(C28="","",IFERROR(VLOOKUP(C28,BD!D:F,2,0),""))</f>
        <v/>
      </c>
      <c r="H28" s="23"/>
      <c r="I28" s="23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 spans="1:24" s="20" customFormat="1" ht="24" customHeight="1" x14ac:dyDescent="0.3">
      <c r="A29" s="36"/>
      <c r="B29" s="23"/>
      <c r="C29" s="22"/>
      <c r="D29" s="22"/>
      <c r="E29" s="22"/>
      <c r="F29" s="22"/>
      <c r="G29" s="25" t="str">
        <f>IF(C29="","",IFERROR(VLOOKUP(C29,BD!D:F,2,0),""))</f>
        <v/>
      </c>
      <c r="H29" s="23"/>
      <c r="I29" s="23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 spans="1:24" s="20" customFormat="1" ht="24" customHeight="1" x14ac:dyDescent="0.3">
      <c r="A30" s="36"/>
      <c r="B30" s="23"/>
      <c r="C30" s="22"/>
      <c r="D30" s="22"/>
      <c r="E30" s="22"/>
      <c r="F30" s="22"/>
      <c r="G30" s="25" t="str">
        <f>IF(C30="","",IFERROR(VLOOKUP(C30,BD!D:F,2,0),""))</f>
        <v/>
      </c>
      <c r="H30" s="23"/>
      <c r="I30" s="23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</row>
    <row r="31" spans="1:24" s="20" customFormat="1" ht="24" customHeight="1" x14ac:dyDescent="0.3">
      <c r="A31" s="36"/>
      <c r="B31" s="23"/>
      <c r="C31" s="22"/>
      <c r="D31" s="22"/>
      <c r="E31" s="22"/>
      <c r="F31" s="22"/>
      <c r="G31" s="25" t="str">
        <f>IF(C31="","",IFERROR(VLOOKUP(C31,BD!D:F,2,0),""))</f>
        <v/>
      </c>
      <c r="H31" s="23"/>
      <c r="I31" s="23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</row>
    <row r="32" spans="1:24" s="20" customFormat="1" ht="24" customHeight="1" x14ac:dyDescent="0.3">
      <c r="A32" s="36"/>
      <c r="B32" s="23"/>
      <c r="C32" s="22"/>
      <c r="D32" s="22"/>
      <c r="E32" s="22"/>
      <c r="F32" s="22"/>
      <c r="G32" s="25" t="str">
        <f>IF(C32="","",IFERROR(VLOOKUP(C32,BD!D:F,2,0),""))</f>
        <v/>
      </c>
      <c r="H32" s="23"/>
      <c r="I32" s="23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</row>
    <row r="33" spans="1:24" s="20" customFormat="1" ht="24" customHeight="1" x14ac:dyDescent="0.3">
      <c r="A33" s="36"/>
      <c r="B33" s="23"/>
      <c r="C33" s="22"/>
      <c r="D33" s="22"/>
      <c r="E33" s="22"/>
      <c r="F33" s="22"/>
      <c r="G33" s="25" t="str">
        <f>IF(C33="","",IFERROR(VLOOKUP(C33,BD!D:F,2,0),""))</f>
        <v/>
      </c>
      <c r="H33" s="23"/>
      <c r="I33" s="23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</row>
    <row r="34" spans="1:24" s="20" customFormat="1" ht="24" customHeight="1" x14ac:dyDescent="0.3">
      <c r="A34" s="36"/>
      <c r="B34" s="23"/>
      <c r="C34" s="22"/>
      <c r="D34" s="22"/>
      <c r="E34" s="22"/>
      <c r="F34" s="22"/>
      <c r="G34" s="25" t="str">
        <f>IF(C34="","",IFERROR(VLOOKUP(C34,BD!D:F,2,0),""))</f>
        <v/>
      </c>
      <c r="H34" s="23"/>
      <c r="I34" s="23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</row>
    <row r="35" spans="1:24" s="20" customFormat="1" ht="24" customHeight="1" x14ac:dyDescent="0.3">
      <c r="A35" s="36"/>
      <c r="B35" s="23"/>
      <c r="C35" s="22"/>
      <c r="D35" s="22"/>
      <c r="E35" s="22"/>
      <c r="F35" s="22"/>
      <c r="G35" s="25" t="str">
        <f>IF(C35="","",IFERROR(VLOOKUP(C35,BD!D:F,2,0),""))</f>
        <v/>
      </c>
      <c r="H35" s="23"/>
      <c r="I35" s="23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</row>
    <row r="36" spans="1:24" s="20" customFormat="1" ht="24" customHeight="1" x14ac:dyDescent="0.3">
      <c r="A36" s="36"/>
      <c r="B36" s="23"/>
      <c r="C36" s="22"/>
      <c r="D36" s="22"/>
      <c r="E36" s="22"/>
      <c r="F36" s="22"/>
      <c r="G36" s="25" t="str">
        <f>IF(C36="","",IFERROR(VLOOKUP(C36,BD!D:F,2,0),""))</f>
        <v/>
      </c>
      <c r="H36" s="23"/>
      <c r="I36" s="23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</row>
    <row r="37" spans="1:24" s="20" customFormat="1" ht="24" customHeight="1" x14ac:dyDescent="0.3">
      <c r="A37" s="36"/>
      <c r="B37" s="23"/>
      <c r="C37" s="22"/>
      <c r="D37" s="22"/>
      <c r="E37" s="22"/>
      <c r="F37" s="22"/>
      <c r="G37" s="25" t="str">
        <f>IF(C37="","",IFERROR(VLOOKUP(C37,BD!D:F,2,0),""))</f>
        <v/>
      </c>
      <c r="H37" s="23"/>
      <c r="I37" s="23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</row>
    <row r="38" spans="1:24" s="20" customFormat="1" ht="24" customHeight="1" x14ac:dyDescent="0.3">
      <c r="A38" s="36"/>
      <c r="B38" s="23"/>
      <c r="C38" s="22"/>
      <c r="D38" s="22"/>
      <c r="E38" s="22"/>
      <c r="F38" s="22"/>
      <c r="G38" s="25" t="str">
        <f>IF(C38="","",IFERROR(VLOOKUP(C38,BD!D:F,2,0),""))</f>
        <v/>
      </c>
      <c r="H38" s="23"/>
      <c r="I38" s="23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</row>
    <row r="39" spans="1:24" ht="24" customHeight="1" x14ac:dyDescent="0.3">
      <c r="A39" s="36"/>
      <c r="B39" s="23"/>
      <c r="C39" s="22"/>
      <c r="D39" s="22"/>
      <c r="E39" s="22"/>
      <c r="F39" s="22"/>
      <c r="G39" s="25" t="str">
        <f>IF(C39="","",IFERROR(VLOOKUP(C39,BD!D:F,2,0),""))</f>
        <v/>
      </c>
      <c r="H39" s="23"/>
      <c r="I39" s="23"/>
    </row>
    <row r="40" spans="1:24" ht="24" customHeight="1" x14ac:dyDescent="0.3">
      <c r="A40" s="36"/>
      <c r="B40" s="23"/>
      <c r="C40" s="22"/>
      <c r="D40" s="22"/>
      <c r="E40" s="22"/>
      <c r="F40" s="22"/>
      <c r="G40" s="25" t="str">
        <f>IF(C40="","",IFERROR(VLOOKUP(C40,BD!D:F,2,0),""))</f>
        <v/>
      </c>
      <c r="H40" s="23"/>
      <c r="I40" s="23"/>
    </row>
    <row r="41" spans="1:24" ht="24" customHeight="1" x14ac:dyDescent="0.3">
      <c r="A41" s="36"/>
      <c r="B41" s="23"/>
      <c r="C41" s="22"/>
      <c r="D41" s="22"/>
      <c r="E41" s="22"/>
      <c r="F41" s="22"/>
      <c r="G41" s="25" t="str">
        <f>IF(C41="","",IFERROR(VLOOKUP(C41,BD!D:F,2,0),""))</f>
        <v/>
      </c>
      <c r="H41" s="23"/>
      <c r="I41" s="23"/>
    </row>
    <row r="42" spans="1:24" ht="24" customHeight="1" x14ac:dyDescent="0.3">
      <c r="A42" s="36"/>
      <c r="B42" s="23"/>
      <c r="C42" s="22"/>
      <c r="D42" s="22"/>
      <c r="E42" s="22"/>
      <c r="F42" s="22"/>
      <c r="G42" s="25" t="str">
        <f>IF(C42="","",IFERROR(VLOOKUP(C42,BD!D:F,2,0),""))</f>
        <v/>
      </c>
      <c r="H42" s="23"/>
      <c r="I42" s="23"/>
    </row>
    <row r="43" spans="1:24" ht="24" customHeight="1" x14ac:dyDescent="0.3">
      <c r="A43" s="36"/>
      <c r="B43" s="23"/>
      <c r="C43" s="22"/>
      <c r="D43" s="22"/>
      <c r="E43" s="22"/>
      <c r="F43" s="22"/>
      <c r="G43" s="25" t="str">
        <f>IF(C43="","",IFERROR(VLOOKUP(C43,BD!D:F,2,0),""))</f>
        <v/>
      </c>
      <c r="H43" s="23"/>
      <c r="I43" s="23"/>
    </row>
    <row r="44" spans="1:24" ht="24" customHeight="1" x14ac:dyDescent="0.3">
      <c r="A44" s="36"/>
      <c r="B44" s="23"/>
      <c r="C44" s="22"/>
      <c r="D44" s="22"/>
      <c r="E44" s="22"/>
      <c r="F44" s="22"/>
      <c r="G44" s="25" t="str">
        <f>IF(C44="","",IFERROR(VLOOKUP(C44,BD!D:F,2,0),""))</f>
        <v/>
      </c>
      <c r="H44" s="23"/>
      <c r="I44" s="23"/>
    </row>
    <row r="45" spans="1:24" ht="24" customHeight="1" x14ac:dyDescent="0.3">
      <c r="A45" s="36"/>
      <c r="B45" s="23"/>
      <c r="C45" s="22"/>
      <c r="D45" s="22"/>
      <c r="E45" s="22"/>
      <c r="F45" s="22"/>
      <c r="G45" s="25" t="str">
        <f>IF(C45="","",IFERROR(VLOOKUP(C45,BD!D:F,2,0),""))</f>
        <v/>
      </c>
      <c r="H45" s="23"/>
      <c r="I45" s="23"/>
    </row>
    <row r="46" spans="1:24" ht="24" customHeight="1" x14ac:dyDescent="0.3">
      <c r="A46" s="36"/>
      <c r="B46" s="23"/>
      <c r="C46" s="22"/>
      <c r="D46" s="22"/>
      <c r="E46" s="22"/>
      <c r="F46" s="22"/>
      <c r="G46" s="25" t="str">
        <f>IF(C46="","",IFERROR(VLOOKUP(C46,BD!D:F,2,0),""))</f>
        <v/>
      </c>
      <c r="H46" s="23"/>
      <c r="I46" s="23"/>
    </row>
    <row r="47" spans="1:24" ht="24" customHeight="1" x14ac:dyDescent="0.3">
      <c r="A47" s="36"/>
      <c r="B47" s="23"/>
      <c r="C47" s="22"/>
      <c r="D47" s="22"/>
      <c r="E47" s="22"/>
      <c r="F47" s="22"/>
      <c r="G47" s="25" t="str">
        <f>IF(C47="","",IFERROR(VLOOKUP(C47,BD!D:F,2,0),""))</f>
        <v/>
      </c>
      <c r="H47" s="23"/>
      <c r="I47" s="23"/>
    </row>
    <row r="48" spans="1:24" ht="24" customHeight="1" x14ac:dyDescent="0.3">
      <c r="A48" s="36"/>
      <c r="B48" s="23"/>
      <c r="C48" s="22"/>
      <c r="D48" s="22"/>
      <c r="E48" s="22"/>
      <c r="F48" s="22"/>
      <c r="G48" s="25" t="str">
        <f>IF(C48="","",IFERROR(VLOOKUP(C48,BD!D:F,2,0),""))</f>
        <v/>
      </c>
      <c r="H48" s="23"/>
      <c r="I48" s="23"/>
    </row>
    <row r="49" spans="1:9" ht="24" customHeight="1" x14ac:dyDescent="0.3">
      <c r="A49" s="36"/>
      <c r="B49" s="23"/>
      <c r="C49" s="22"/>
      <c r="D49" s="22"/>
      <c r="E49" s="22"/>
      <c r="F49" s="22"/>
      <c r="G49" s="25" t="str">
        <f>IF(C49="","",IFERROR(VLOOKUP(C49,BD!D:F,2,0),""))</f>
        <v/>
      </c>
      <c r="H49" s="23"/>
      <c r="I49" s="23"/>
    </row>
    <row r="50" spans="1:9" ht="24" customHeight="1" x14ac:dyDescent="0.3">
      <c r="A50" s="36"/>
      <c r="B50" s="23"/>
      <c r="C50" s="22"/>
      <c r="D50" s="22"/>
      <c r="E50" s="22"/>
      <c r="F50" s="22"/>
      <c r="G50" s="25" t="str">
        <f>IF(C50="","",IFERROR(VLOOKUP(C50,BD!D:F,2,0),""))</f>
        <v/>
      </c>
      <c r="H50" s="23"/>
      <c r="I50" s="23"/>
    </row>
    <row r="51" spans="1:9" ht="24" customHeight="1" x14ac:dyDescent="0.3">
      <c r="A51" s="36"/>
      <c r="B51" s="23"/>
      <c r="C51" s="22"/>
      <c r="D51" s="22"/>
      <c r="E51" s="22"/>
      <c r="F51" s="22"/>
      <c r="G51" s="25" t="str">
        <f>IF(C51="","",IFERROR(VLOOKUP(C51,BD!D:F,2,0),""))</f>
        <v/>
      </c>
      <c r="H51" s="23"/>
      <c r="I51" s="23"/>
    </row>
    <row r="52" spans="1:9" ht="24" customHeight="1" x14ac:dyDescent="0.3">
      <c r="A52" s="36"/>
      <c r="B52" s="23"/>
      <c r="C52" s="22"/>
      <c r="D52" s="22"/>
      <c r="E52" s="22"/>
      <c r="F52" s="22"/>
      <c r="G52" s="25" t="str">
        <f>IF(C52="","",IFERROR(VLOOKUP(C52,BD!D:F,2,0),""))</f>
        <v/>
      </c>
      <c r="H52" s="23"/>
      <c r="I52" s="23"/>
    </row>
    <row r="53" spans="1:9" ht="24" customHeight="1" x14ac:dyDescent="0.3">
      <c r="A53" s="36"/>
      <c r="B53" s="23"/>
      <c r="C53" s="22"/>
      <c r="D53" s="22"/>
      <c r="E53" s="22"/>
      <c r="F53" s="22"/>
      <c r="G53" s="25" t="str">
        <f>IF(C53="","",IFERROR(VLOOKUP(C53,BD!D:F,2,0),""))</f>
        <v/>
      </c>
      <c r="H53" s="23"/>
      <c r="I53" s="23"/>
    </row>
    <row r="54" spans="1:9" ht="24" customHeight="1" x14ac:dyDescent="0.3">
      <c r="A54" s="36"/>
      <c r="B54" s="23"/>
      <c r="C54" s="22"/>
      <c r="D54" s="22"/>
      <c r="E54" s="22"/>
      <c r="F54" s="22"/>
      <c r="G54" s="25" t="str">
        <f>IF(C54="","",IFERROR(VLOOKUP(C54,BD!D:F,2,0),""))</f>
        <v/>
      </c>
      <c r="H54" s="23"/>
      <c r="I54" s="23"/>
    </row>
    <row r="55" spans="1:9" ht="24" customHeight="1" x14ac:dyDescent="0.3">
      <c r="A55" s="36"/>
      <c r="B55" s="23"/>
      <c r="C55" s="22"/>
      <c r="D55" s="22"/>
      <c r="E55" s="22"/>
      <c r="F55" s="22"/>
      <c r="G55" s="25" t="str">
        <f>IF(C55="","",IFERROR(VLOOKUP(C55,BD!D:F,2,0),""))</f>
        <v/>
      </c>
      <c r="H55" s="23"/>
      <c r="I55" s="23"/>
    </row>
    <row r="56" spans="1:9" ht="24" customHeight="1" x14ac:dyDescent="0.3">
      <c r="A56" s="36"/>
      <c r="B56" s="23"/>
      <c r="C56" s="22"/>
      <c r="D56" s="22"/>
      <c r="E56" s="22"/>
      <c r="F56" s="22"/>
      <c r="G56" s="25" t="str">
        <f>IF(C56="","",IFERROR(VLOOKUP(C56,BD!D:F,2,0),""))</f>
        <v/>
      </c>
      <c r="H56" s="23"/>
      <c r="I56" s="23"/>
    </row>
    <row r="57" spans="1:9" ht="24" customHeight="1" x14ac:dyDescent="0.3">
      <c r="A57" s="36"/>
      <c r="B57" s="23"/>
      <c r="C57" s="22"/>
      <c r="D57" s="22"/>
      <c r="E57" s="22"/>
      <c r="F57" s="22"/>
      <c r="G57" s="25" t="str">
        <f>IF(C57="","",IFERROR(VLOOKUP(C57,BD!D:F,2,0),""))</f>
        <v/>
      </c>
      <c r="H57" s="23"/>
      <c r="I57" s="23"/>
    </row>
    <row r="58" spans="1:9" ht="24" customHeight="1" x14ac:dyDescent="0.3">
      <c r="A58" s="36"/>
      <c r="B58" s="23"/>
      <c r="C58" s="22"/>
      <c r="D58" s="22"/>
      <c r="E58" s="22"/>
      <c r="F58" s="22"/>
      <c r="G58" s="25" t="str">
        <f>IF(C58="","",IFERROR(VLOOKUP(C58,BD!D:F,2,0),""))</f>
        <v/>
      </c>
      <c r="H58" s="23"/>
      <c r="I58" s="23"/>
    </row>
    <row r="59" spans="1:9" ht="24" customHeight="1" x14ac:dyDescent="0.3">
      <c r="A59" s="36"/>
      <c r="B59" s="23"/>
      <c r="C59" s="22"/>
      <c r="D59" s="22"/>
      <c r="E59" s="22"/>
      <c r="F59" s="22"/>
      <c r="G59" s="25" t="str">
        <f>IF(C59="","",IFERROR(VLOOKUP(C59,BD!D:F,2,0),""))</f>
        <v/>
      </c>
      <c r="H59" s="23"/>
      <c r="I59" s="23"/>
    </row>
    <row r="60" spans="1:9" ht="24" customHeight="1" x14ac:dyDescent="0.3">
      <c r="A60" s="36"/>
      <c r="B60" s="23"/>
      <c r="C60" s="22"/>
      <c r="D60" s="22"/>
      <c r="E60" s="22"/>
      <c r="F60" s="22"/>
      <c r="G60" s="25" t="str">
        <f>IF(C60="","",IFERROR(VLOOKUP(C60,BD!D:F,2,0),""))</f>
        <v/>
      </c>
      <c r="H60" s="23"/>
      <c r="I60" s="23"/>
    </row>
    <row r="61" spans="1:9" ht="24" customHeight="1" x14ac:dyDescent="0.3">
      <c r="A61" s="36"/>
      <c r="B61" s="23"/>
      <c r="C61" s="22"/>
      <c r="D61" s="22"/>
      <c r="E61" s="22"/>
      <c r="F61" s="22"/>
      <c r="G61" s="25" t="str">
        <f>IF(C61="","",IFERROR(VLOOKUP(C61,BD!D:F,2,0),""))</f>
        <v/>
      </c>
      <c r="H61" s="23"/>
      <c r="I61" s="23"/>
    </row>
    <row r="62" spans="1:9" ht="24" customHeight="1" x14ac:dyDescent="0.3">
      <c r="A62" s="36"/>
      <c r="B62" s="23"/>
      <c r="C62" s="22"/>
      <c r="D62" s="22"/>
      <c r="E62" s="22"/>
      <c r="F62" s="22"/>
      <c r="G62" s="25" t="str">
        <f>IF(C62="","",IFERROR(VLOOKUP(C62,BD!D:F,2,0),""))</f>
        <v/>
      </c>
      <c r="H62" s="23"/>
      <c r="I62" s="23"/>
    </row>
    <row r="63" spans="1:9" ht="24" customHeight="1" x14ac:dyDescent="0.3">
      <c r="A63" s="36"/>
      <c r="B63" s="23"/>
      <c r="C63" s="22"/>
      <c r="D63" s="22"/>
      <c r="E63" s="22"/>
      <c r="F63" s="22"/>
      <c r="G63" s="25" t="str">
        <f>IF(C63="","",IFERROR(VLOOKUP(C63,BD!D:F,2,0),""))</f>
        <v/>
      </c>
      <c r="H63" s="23"/>
      <c r="I63" s="23"/>
    </row>
    <row r="64" spans="1:9" ht="24" customHeight="1" x14ac:dyDescent="0.3">
      <c r="A64" s="36"/>
      <c r="B64" s="23"/>
      <c r="C64" s="22"/>
      <c r="D64" s="22"/>
      <c r="E64" s="22"/>
      <c r="F64" s="22"/>
      <c r="G64" s="25" t="str">
        <f>IF(C64="","",IFERROR(VLOOKUP(C64,BD!D:F,2,0),""))</f>
        <v/>
      </c>
      <c r="H64" s="23"/>
      <c r="I64" s="23"/>
    </row>
    <row r="65" spans="1:9" ht="24" customHeight="1" x14ac:dyDescent="0.3">
      <c r="A65" s="36"/>
      <c r="B65" s="23"/>
      <c r="C65" s="22"/>
      <c r="D65" s="22"/>
      <c r="E65" s="22"/>
      <c r="F65" s="22"/>
      <c r="G65" s="25" t="str">
        <f>IF(C65="","",IFERROR(VLOOKUP(C65,BD!D:F,2,0),""))</f>
        <v/>
      </c>
      <c r="H65" s="23"/>
      <c r="I65" s="23"/>
    </row>
    <row r="66" spans="1:9" ht="24" customHeight="1" x14ac:dyDescent="0.3">
      <c r="A66" s="36"/>
      <c r="B66" s="23"/>
      <c r="C66" s="22"/>
      <c r="D66" s="22"/>
      <c r="E66" s="22"/>
      <c r="F66" s="22"/>
      <c r="G66" s="25" t="str">
        <f>IF(C66="","",IFERROR(VLOOKUP(C66,BD!D:F,2,0),""))</f>
        <v/>
      </c>
      <c r="H66" s="23"/>
      <c r="I66" s="23"/>
    </row>
    <row r="67" spans="1:9" ht="24" customHeight="1" x14ac:dyDescent="0.3">
      <c r="A67" s="36"/>
      <c r="B67" s="23"/>
      <c r="C67" s="22"/>
      <c r="D67" s="22"/>
      <c r="E67" s="22"/>
      <c r="F67" s="22"/>
      <c r="G67" s="25" t="str">
        <f>IF(C67="","",IFERROR(VLOOKUP(C67,BD!D:F,2,0),""))</f>
        <v/>
      </c>
      <c r="H67" s="23"/>
      <c r="I67" s="23"/>
    </row>
    <row r="68" spans="1:9" ht="24" customHeight="1" x14ac:dyDescent="0.3">
      <c r="A68" s="36"/>
      <c r="B68" s="23"/>
      <c r="C68" s="22"/>
      <c r="D68" s="22"/>
      <c r="E68" s="22"/>
      <c r="F68" s="22"/>
      <c r="G68" s="25" t="str">
        <f>IF(C68="","",IFERROR(VLOOKUP(C68,BD!D:F,2,0),""))</f>
        <v/>
      </c>
      <c r="H68" s="23"/>
      <c r="I68" s="23"/>
    </row>
    <row r="69" spans="1:9" ht="24" customHeight="1" x14ac:dyDescent="0.3">
      <c r="A69" s="36"/>
      <c r="B69" s="23"/>
      <c r="C69" s="22"/>
      <c r="D69" s="22"/>
      <c r="E69" s="22"/>
      <c r="F69" s="22"/>
      <c r="G69" s="25" t="str">
        <f>IF(C69="","",IFERROR(VLOOKUP(C69,BD!D:F,2,0),""))</f>
        <v/>
      </c>
      <c r="H69" s="23"/>
      <c r="I69" s="23"/>
    </row>
    <row r="70" spans="1:9" ht="24" customHeight="1" x14ac:dyDescent="0.3">
      <c r="A70" s="36"/>
      <c r="B70" s="23"/>
      <c r="C70" s="22"/>
      <c r="D70" s="22"/>
      <c r="E70" s="22"/>
      <c r="F70" s="22"/>
      <c r="G70" s="25" t="str">
        <f>IF(C70="","",IFERROR(VLOOKUP(C70,BD!D:F,2,0),""))</f>
        <v/>
      </c>
      <c r="H70" s="23"/>
      <c r="I70" s="23"/>
    </row>
    <row r="71" spans="1:9" ht="24" customHeight="1" x14ac:dyDescent="0.3">
      <c r="A71" s="36"/>
      <c r="B71" s="23"/>
      <c r="C71" s="22"/>
      <c r="D71" s="22"/>
      <c r="E71" s="22"/>
      <c r="F71" s="22"/>
      <c r="G71" s="25" t="str">
        <f>IF(C71="","",IFERROR(VLOOKUP(C71,BD!D:F,2,0),""))</f>
        <v/>
      </c>
      <c r="H71" s="23"/>
      <c r="I71" s="23"/>
    </row>
    <row r="72" spans="1:9" ht="24" customHeight="1" x14ac:dyDescent="0.3">
      <c r="A72" s="36"/>
      <c r="B72" s="23"/>
      <c r="C72" s="22"/>
      <c r="D72" s="22"/>
      <c r="E72" s="22"/>
      <c r="F72" s="22"/>
      <c r="G72" s="25" t="str">
        <f>IF(C72="","",IFERROR(VLOOKUP(C72,BD!D:F,2,0),""))</f>
        <v/>
      </c>
      <c r="H72" s="23"/>
      <c r="I72" s="23"/>
    </row>
    <row r="73" spans="1:9" ht="24" customHeight="1" x14ac:dyDescent="0.3">
      <c r="A73" s="36"/>
      <c r="B73" s="23"/>
      <c r="C73" s="22"/>
      <c r="D73" s="22"/>
      <c r="E73" s="22"/>
      <c r="F73" s="22"/>
      <c r="G73" s="25" t="str">
        <f>IF(C73="","",IFERROR(VLOOKUP(C73,BD!D:F,2,0),""))</f>
        <v/>
      </c>
      <c r="H73" s="23"/>
      <c r="I73" s="23"/>
    </row>
    <row r="74" spans="1:9" ht="24" customHeight="1" x14ac:dyDescent="0.3">
      <c r="A74" s="36"/>
      <c r="B74" s="23"/>
      <c r="C74" s="22"/>
      <c r="D74" s="22"/>
      <c r="E74" s="22"/>
      <c r="F74" s="22"/>
      <c r="G74" s="25" t="str">
        <f>IF(C74="","",IFERROR(VLOOKUP(C74,BD!D:F,2,0),""))</f>
        <v/>
      </c>
      <c r="H74" s="23"/>
      <c r="I74" s="23"/>
    </row>
    <row r="75" spans="1:9" ht="24" customHeight="1" x14ac:dyDescent="0.3">
      <c r="A75" s="36"/>
      <c r="B75" s="23"/>
      <c r="C75" s="22"/>
      <c r="D75" s="22"/>
      <c r="E75" s="22"/>
      <c r="F75" s="22"/>
      <c r="G75" s="25" t="str">
        <f>IF(C75="","",IFERROR(VLOOKUP(C75,BD!D:F,2,0),""))</f>
        <v/>
      </c>
      <c r="H75" s="23"/>
      <c r="I75" s="23"/>
    </row>
    <row r="76" spans="1:9" ht="24" customHeight="1" x14ac:dyDescent="0.3">
      <c r="A76" s="36"/>
      <c r="B76" s="23"/>
      <c r="C76" s="22"/>
      <c r="D76" s="22"/>
      <c r="E76" s="22"/>
      <c r="F76" s="22"/>
      <c r="G76" s="25" t="str">
        <f>IF(C76="","",IFERROR(VLOOKUP(C76,BD!D:F,2,0),""))</f>
        <v/>
      </c>
      <c r="H76" s="23"/>
      <c r="I76" s="23"/>
    </row>
    <row r="77" spans="1:9" ht="24" customHeight="1" x14ac:dyDescent="0.3">
      <c r="A77" s="36"/>
      <c r="B77" s="23"/>
      <c r="C77" s="22"/>
      <c r="D77" s="22"/>
      <c r="E77" s="22"/>
      <c r="F77" s="22"/>
      <c r="G77" s="25" t="str">
        <f>IF(C77="","",IFERROR(VLOOKUP(C77,BD!D:F,2,0),""))</f>
        <v/>
      </c>
      <c r="H77" s="23"/>
      <c r="I77" s="23"/>
    </row>
    <row r="78" spans="1:9" ht="24" customHeight="1" x14ac:dyDescent="0.3">
      <c r="A78" s="36"/>
      <c r="B78" s="23"/>
      <c r="C78" s="22"/>
      <c r="D78" s="22"/>
      <c r="E78" s="22"/>
      <c r="F78" s="22"/>
      <c r="G78" s="25" t="str">
        <f>IF(C78="","",IFERROR(VLOOKUP(C78,BD!D:F,2,0),""))</f>
        <v/>
      </c>
      <c r="H78" s="23"/>
      <c r="I78" s="23"/>
    </row>
    <row r="79" spans="1:9" ht="24" customHeight="1" x14ac:dyDescent="0.3">
      <c r="A79" s="36"/>
      <c r="B79" s="23"/>
      <c r="C79" s="22"/>
      <c r="D79" s="22"/>
      <c r="E79" s="22"/>
      <c r="F79" s="22"/>
      <c r="G79" s="25" t="str">
        <f>IF(C79="","",IFERROR(VLOOKUP(C79,BD!D:F,2,0),""))</f>
        <v/>
      </c>
      <c r="H79" s="23"/>
      <c r="I79" s="23"/>
    </row>
    <row r="80" spans="1:9" ht="24" customHeight="1" x14ac:dyDescent="0.3">
      <c r="A80" s="36"/>
      <c r="B80" s="23"/>
      <c r="C80" s="22"/>
      <c r="D80" s="22"/>
      <c r="E80" s="22"/>
      <c r="F80" s="22"/>
      <c r="G80" s="25" t="str">
        <f>IF(C80="","",IFERROR(VLOOKUP(C80,BD!D:F,2,0),""))</f>
        <v/>
      </c>
      <c r="H80" s="23"/>
      <c r="I80" s="23"/>
    </row>
    <row r="81" spans="1:9" ht="24" customHeight="1" x14ac:dyDescent="0.3">
      <c r="A81" s="36"/>
      <c r="B81" s="23"/>
      <c r="C81" s="22"/>
      <c r="D81" s="22"/>
      <c r="E81" s="22"/>
      <c r="F81" s="22"/>
      <c r="G81" s="25" t="str">
        <f>IF(C81="","",IFERROR(VLOOKUP(C81,BD!D:F,2,0),""))</f>
        <v/>
      </c>
      <c r="H81" s="23"/>
      <c r="I81" s="23"/>
    </row>
    <row r="82" spans="1:9" ht="24" customHeight="1" x14ac:dyDescent="0.3">
      <c r="A82" s="36"/>
      <c r="B82" s="23"/>
      <c r="C82" s="22"/>
      <c r="D82" s="22"/>
      <c r="E82" s="22"/>
      <c r="F82" s="22"/>
      <c r="G82" s="25" t="str">
        <f>IF(C82="","",IFERROR(VLOOKUP(C82,BD!D:F,2,0),""))</f>
        <v/>
      </c>
      <c r="H82" s="23"/>
      <c r="I82" s="23"/>
    </row>
    <row r="83" spans="1:9" ht="24" customHeight="1" x14ac:dyDescent="0.3">
      <c r="A83" s="36"/>
      <c r="B83" s="23"/>
      <c r="C83" s="22"/>
      <c r="D83" s="22"/>
      <c r="E83" s="22"/>
      <c r="F83" s="22"/>
      <c r="G83" s="25" t="str">
        <f>IF(C83="","",IFERROR(VLOOKUP(C83,BD!D:F,2,0),""))</f>
        <v/>
      </c>
      <c r="H83" s="23"/>
      <c r="I83" s="23"/>
    </row>
    <row r="84" spans="1:9" ht="24" customHeight="1" x14ac:dyDescent="0.3">
      <c r="A84" s="36"/>
      <c r="B84" s="23"/>
      <c r="C84" s="22"/>
      <c r="D84" s="22"/>
      <c r="E84" s="22"/>
      <c r="F84" s="22"/>
      <c r="G84" s="25" t="str">
        <f>IF(C84="","",IFERROR(VLOOKUP(C84,BD!D:F,2,0),""))</f>
        <v/>
      </c>
      <c r="H84" s="23"/>
      <c r="I84" s="23"/>
    </row>
    <row r="85" spans="1:9" ht="24" customHeight="1" x14ac:dyDescent="0.3">
      <c r="A85" s="36"/>
      <c r="B85" s="23"/>
      <c r="C85" s="22"/>
      <c r="D85" s="22"/>
      <c r="E85" s="22"/>
      <c r="F85" s="22"/>
      <c r="G85" s="25" t="str">
        <f>IF(C85="","",IFERROR(VLOOKUP(C85,BD!D:F,2,0),""))</f>
        <v/>
      </c>
      <c r="H85" s="23"/>
      <c r="I85" s="23"/>
    </row>
    <row r="86" spans="1:9" ht="24" customHeight="1" x14ac:dyDescent="0.3">
      <c r="A86" s="36"/>
      <c r="B86" s="23"/>
      <c r="C86" s="22"/>
      <c r="D86" s="22"/>
      <c r="E86" s="22"/>
      <c r="F86" s="22"/>
      <c r="G86" s="25" t="str">
        <f>IF(C86="","",IFERROR(VLOOKUP(C86,BD!D:F,2,0),""))</f>
        <v/>
      </c>
      <c r="H86" s="23"/>
      <c r="I86" s="23"/>
    </row>
    <row r="87" spans="1:9" ht="24" customHeight="1" x14ac:dyDescent="0.3">
      <c r="A87" s="36"/>
      <c r="B87" s="23"/>
      <c r="C87" s="22"/>
      <c r="D87" s="22"/>
      <c r="E87" s="22"/>
      <c r="F87" s="22"/>
      <c r="G87" s="25" t="str">
        <f>IF(C87="","",IFERROR(VLOOKUP(C87,BD!D:F,2,0),""))</f>
        <v/>
      </c>
      <c r="H87" s="23"/>
      <c r="I87" s="23"/>
    </row>
    <row r="88" spans="1:9" ht="24" customHeight="1" x14ac:dyDescent="0.3">
      <c r="A88" s="36"/>
      <c r="B88" s="23"/>
      <c r="C88" s="22"/>
      <c r="D88" s="22"/>
      <c r="E88" s="22"/>
      <c r="F88" s="22"/>
      <c r="G88" s="25" t="str">
        <f>IF(C88="","",IFERROR(VLOOKUP(C88,BD!D:F,2,0),""))</f>
        <v/>
      </c>
      <c r="H88" s="23"/>
      <c r="I88" s="23"/>
    </row>
    <row r="89" spans="1:9" ht="24" customHeight="1" x14ac:dyDescent="0.3">
      <c r="A89" s="36"/>
      <c r="B89" s="23"/>
      <c r="C89" s="22"/>
      <c r="D89" s="22"/>
      <c r="E89" s="22"/>
      <c r="F89" s="22"/>
      <c r="G89" s="25" t="str">
        <f>IF(C89="","",IFERROR(VLOOKUP(C89,BD!D:F,2,0),""))</f>
        <v/>
      </c>
      <c r="H89" s="23"/>
      <c r="I89" s="23"/>
    </row>
    <row r="90" spans="1:9" ht="24" customHeight="1" x14ac:dyDescent="0.3">
      <c r="A90" s="36"/>
      <c r="B90" s="23"/>
      <c r="C90" s="22"/>
      <c r="D90" s="22"/>
      <c r="E90" s="22"/>
      <c r="F90" s="22"/>
      <c r="G90" s="25" t="str">
        <f>IF(C90="","",IFERROR(VLOOKUP(C90,BD!D:F,2,0),""))</f>
        <v/>
      </c>
      <c r="H90" s="23"/>
      <c r="I90" s="23"/>
    </row>
    <row r="91" spans="1:9" ht="24" customHeight="1" x14ac:dyDescent="0.3">
      <c r="A91" s="36"/>
      <c r="B91" s="23"/>
      <c r="C91" s="22"/>
      <c r="D91" s="22"/>
      <c r="E91" s="22"/>
      <c r="F91" s="22"/>
      <c r="G91" s="25" t="str">
        <f>IF(C91="","",IFERROR(VLOOKUP(C91,BD!D:F,2,0),""))</f>
        <v/>
      </c>
      <c r="H91" s="23"/>
      <c r="I91" s="23"/>
    </row>
    <row r="92" spans="1:9" ht="24" customHeight="1" x14ac:dyDescent="0.3">
      <c r="A92" s="36"/>
      <c r="B92" s="23"/>
      <c r="C92" s="22"/>
      <c r="D92" s="22"/>
      <c r="E92" s="22"/>
      <c r="F92" s="22"/>
      <c r="G92" s="25" t="str">
        <f>IF(C92="","",IFERROR(VLOOKUP(C92,BD!D:F,2,0),""))</f>
        <v/>
      </c>
      <c r="H92" s="23"/>
      <c r="I92" s="23"/>
    </row>
    <row r="93" spans="1:9" ht="24" customHeight="1" x14ac:dyDescent="0.3">
      <c r="A93" s="36"/>
      <c r="B93" s="23"/>
      <c r="C93" s="22"/>
      <c r="D93" s="22"/>
      <c r="E93" s="22"/>
      <c r="F93" s="22"/>
      <c r="G93" s="25" t="str">
        <f>IF(C93="","",IFERROR(VLOOKUP(C93,BD!D:F,2,0),""))</f>
        <v/>
      </c>
      <c r="H93" s="23"/>
      <c r="I93" s="23"/>
    </row>
    <row r="94" spans="1:9" ht="24" customHeight="1" x14ac:dyDescent="0.3">
      <c r="A94" s="36"/>
      <c r="B94" s="23"/>
      <c r="C94" s="22"/>
      <c r="D94" s="22"/>
      <c r="E94" s="22"/>
      <c r="F94" s="22"/>
      <c r="G94" s="25" t="str">
        <f>IF(C94="","",IFERROR(VLOOKUP(C94,BD!D:F,2,0),""))</f>
        <v/>
      </c>
      <c r="H94" s="23"/>
      <c r="I94" s="23"/>
    </row>
    <row r="95" spans="1:9" ht="24" customHeight="1" x14ac:dyDescent="0.3">
      <c r="A95" s="36"/>
      <c r="B95" s="23"/>
      <c r="C95" s="22"/>
      <c r="D95" s="22"/>
      <c r="E95" s="22"/>
      <c r="F95" s="22"/>
      <c r="G95" s="25" t="str">
        <f>IF(C95="","",IFERROR(VLOOKUP(C95,BD!D:F,2,0),""))</f>
        <v/>
      </c>
      <c r="H95" s="23"/>
      <c r="I95" s="23"/>
    </row>
    <row r="96" spans="1:9" ht="24" customHeight="1" x14ac:dyDescent="0.3">
      <c r="A96" s="36"/>
      <c r="B96" s="23"/>
      <c r="C96" s="22"/>
      <c r="D96" s="22"/>
      <c r="E96" s="22"/>
      <c r="F96" s="22"/>
      <c r="G96" s="25" t="str">
        <f>IF(C96="","",IFERROR(VLOOKUP(C96,BD!D:F,2,0),""))</f>
        <v/>
      </c>
      <c r="H96" s="23"/>
      <c r="I96" s="23"/>
    </row>
    <row r="97" spans="1:9" ht="24" customHeight="1" x14ac:dyDescent="0.3">
      <c r="A97" s="36"/>
      <c r="B97" s="23"/>
      <c r="C97" s="22"/>
      <c r="D97" s="22"/>
      <c r="E97" s="22"/>
      <c r="F97" s="22"/>
      <c r="G97" s="25" t="str">
        <f>IF(C97="","",IFERROR(VLOOKUP(C97,BD!D:F,2,0),""))</f>
        <v/>
      </c>
      <c r="H97" s="23"/>
      <c r="I97" s="23"/>
    </row>
    <row r="98" spans="1:9" ht="24" customHeight="1" x14ac:dyDescent="0.3">
      <c r="A98" s="36"/>
      <c r="B98" s="23"/>
      <c r="C98" s="22"/>
      <c r="D98" s="22"/>
      <c r="E98" s="22"/>
      <c r="F98" s="22"/>
      <c r="G98" s="25" t="str">
        <f>IF(C98="","",IFERROR(VLOOKUP(C98,BD!D:F,2,0),""))</f>
        <v/>
      </c>
      <c r="H98" s="23"/>
      <c r="I98" s="23"/>
    </row>
    <row r="99" spans="1:9" ht="24" customHeight="1" x14ac:dyDescent="0.3">
      <c r="A99" s="36"/>
      <c r="B99" s="23"/>
      <c r="C99" s="22"/>
      <c r="D99" s="22"/>
      <c r="E99" s="22"/>
      <c r="F99" s="22"/>
      <c r="G99" s="25" t="str">
        <f>IF(C99="","",IFERROR(VLOOKUP(C99,BD!D:F,2,0),""))</f>
        <v/>
      </c>
      <c r="H99" s="23"/>
      <c r="I99" s="23"/>
    </row>
    <row r="100" spans="1:9" ht="24" customHeight="1" x14ac:dyDescent="0.3">
      <c r="A100" s="36"/>
      <c r="B100" s="23"/>
      <c r="C100" s="22"/>
      <c r="D100" s="22"/>
      <c r="E100" s="38"/>
      <c r="F100" s="22"/>
      <c r="G100" s="25" t="str">
        <f>IF(C100="","",IFERROR(VLOOKUP(C100,BD!D:F,2,0),""))</f>
        <v/>
      </c>
      <c r="H100" s="23"/>
      <c r="I100" s="23"/>
    </row>
    <row r="101" spans="1:9" hidden="1" x14ac:dyDescent="0.3">
      <c r="B101" s="32"/>
      <c r="C101" s="37"/>
      <c r="D101" s="37"/>
    </row>
    <row r="102" spans="1:9" hidden="1" x14ac:dyDescent="0.3">
      <c r="B102" s="23"/>
      <c r="C102" s="22"/>
      <c r="D102" s="22"/>
    </row>
  </sheetData>
  <sheetProtection algorithmName="SHA-512" hashValue="QNvHTCdCQlq+eRHhqnE+QxjuLG6OrKLVvVQt3JWO3dbRnrsf+vGAprsf8zoGdlAbIzIv5Q5bo+6cE+MVTIo2gQ==" saltValue="u/eL/6HnUaB5ZpUelMlTYw==" spinCount="100000" sheet="1" objects="1" scenarios="1"/>
  <dataValidations count="4">
    <dataValidation type="list" allowBlank="1" showInputMessage="1" showErrorMessage="1" sqref="C2:C102" xr:uid="{23EF0ECF-DA0C-4CA0-8984-D94E2E60763B}">
      <formula1>INDIRECT($B2)</formula1>
    </dataValidation>
    <dataValidation type="list" allowBlank="1" showInputMessage="1" showErrorMessage="1" sqref="B2:B102" xr:uid="{F550D84B-9739-4CD6-9B44-8BF0733F58AA}">
      <formula1>Direcciones</formula1>
    </dataValidation>
    <dataValidation type="list" allowBlank="1" showInputMessage="1" showErrorMessage="1" sqref="D2:D102" xr:uid="{49242CE5-3894-4AD1-92AF-58887006C1FF}">
      <formula1>INDIRECT($C2)</formula1>
    </dataValidation>
    <dataValidation type="list" allowBlank="1" showInputMessage="1" showErrorMessage="1" sqref="A2:A100" xr:uid="{2A0781A6-535C-478D-82C3-89D5257041E9}">
      <formula1>INDIRECT($J$1)</formula1>
    </dataValidation>
  </dataValidations>
  <pageMargins left="0.7" right="0.7" top="0.75" bottom="0.75" header="0.3" footer="0.3"/>
  <ignoredErrors>
    <ignoredError sqref="J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4CE1D35-23C6-4CCA-A6F2-6BD77926A6DC}">
          <x14:formula1>
            <xm:f>BD!$M$2:$M$4</xm:f>
          </x14:formula1>
          <xm:sqref>F2:F100</xm:sqref>
        </x14:dataValidation>
        <x14:dataValidation type="list" allowBlank="1" showInputMessage="1" showErrorMessage="1" xr:uid="{CB76D83C-4F36-4468-BF15-FEFB30FA1CBE}">
          <x14:formula1>
            <xm:f>BD!$O$2:$O$8</xm:f>
          </x14:formula1>
          <xm:sqref>H2:H100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EF0F2-7CB9-4C37-A0C6-029206BCB69B}">
  <sheetPr codeName="Hoja3">
    <tabColor rgb="FFD2EBB7"/>
  </sheetPr>
  <dimension ref="A1:X102"/>
  <sheetViews>
    <sheetView showGridLines="0" tabSelected="1" zoomScale="85" zoomScaleNormal="85" workbookViewId="0">
      <pane ySplit="1" topLeftCell="A2" activePane="bottomLeft" state="frozen"/>
      <selection pane="bottomLeft" activeCell="D6" sqref="D6"/>
    </sheetView>
  </sheetViews>
  <sheetFormatPr baseColWidth="10" defaultColWidth="0" defaultRowHeight="13.8" zeroHeight="1" x14ac:dyDescent="0.3"/>
  <cols>
    <col min="1" max="1" width="14.5546875" style="29" customWidth="1"/>
    <col min="2" max="2" width="23.5546875" style="24" customWidth="1"/>
    <col min="3" max="3" width="20.5546875" style="20" customWidth="1"/>
    <col min="4" max="4" width="20.5546875" style="24" customWidth="1"/>
    <col min="5" max="5" width="24.5546875" style="20" customWidth="1"/>
    <col min="6" max="6" width="20.5546875" style="20" customWidth="1"/>
    <col min="7" max="7" width="14.5546875" style="26" customWidth="1"/>
    <col min="8" max="8" width="20.5546875" style="24" customWidth="1"/>
    <col min="9" max="9" width="30.5546875" style="24" customWidth="1"/>
    <col min="10" max="10" width="3.109375" style="20" hidden="1" customWidth="1"/>
    <col min="11" max="11" width="10.6640625" style="21" hidden="1" customWidth="1"/>
    <col min="12" max="16384" width="10.6640625" style="21" hidden="1"/>
  </cols>
  <sheetData>
    <row r="1" spans="1:24" ht="27.6" x14ac:dyDescent="0.3">
      <c r="A1" s="19" t="s">
        <v>0</v>
      </c>
      <c r="B1" s="19" t="s">
        <v>4</v>
      </c>
      <c r="C1" s="19" t="s">
        <v>2</v>
      </c>
      <c r="D1" s="19" t="s">
        <v>5</v>
      </c>
      <c r="E1" s="19" t="s">
        <v>1</v>
      </c>
      <c r="F1" s="19" t="s">
        <v>227</v>
      </c>
      <c r="G1" s="1" t="s">
        <v>8</v>
      </c>
      <c r="H1" s="19" t="s">
        <v>6</v>
      </c>
      <c r="I1" s="19" t="s">
        <v>7</v>
      </c>
      <c r="J1" s="31" t="str">
        <f ca="1">"_"&amp;MONTH(TODAY())</f>
        <v>_10</v>
      </c>
    </row>
    <row r="2" spans="1:24" ht="24" customHeight="1" x14ac:dyDescent="0.3">
      <c r="A2" s="28">
        <v>45948</v>
      </c>
      <c r="B2" s="23" t="s">
        <v>145</v>
      </c>
      <c r="C2" s="22" t="s">
        <v>28</v>
      </c>
      <c r="D2" s="23" t="s">
        <v>216</v>
      </c>
      <c r="E2" s="22" t="s">
        <v>235</v>
      </c>
      <c r="F2" s="22" t="s">
        <v>229</v>
      </c>
      <c r="G2" s="25">
        <f>IF(C2="","",IFERROR(VLOOKUP(C2,BD!D:F,2,0),""))</f>
        <v>140301</v>
      </c>
      <c r="H2" s="23" t="s">
        <v>47</v>
      </c>
      <c r="I2" s="23"/>
    </row>
    <row r="3" spans="1:24" ht="24" customHeight="1" x14ac:dyDescent="0.3">
      <c r="A3" s="28"/>
      <c r="B3" s="23"/>
      <c r="C3" s="22"/>
      <c r="D3" s="23"/>
      <c r="E3" s="22"/>
      <c r="F3" s="22"/>
      <c r="G3" s="25" t="str">
        <f>IF(C3="","",IFERROR(VLOOKUP(C3,BD!D:F,2,0),""))</f>
        <v/>
      </c>
      <c r="H3" s="23"/>
      <c r="I3" s="23"/>
    </row>
    <row r="4" spans="1:24" ht="24" customHeight="1" x14ac:dyDescent="0.3">
      <c r="A4" s="28"/>
      <c r="B4" s="23"/>
      <c r="C4" s="22"/>
      <c r="D4" s="23"/>
      <c r="E4" s="22"/>
      <c r="F4" s="22"/>
      <c r="G4" s="25" t="str">
        <f>IF(C4="","",IFERROR(VLOOKUP(C4,BD!D:F,2,0),""))</f>
        <v/>
      </c>
      <c r="H4" s="23"/>
      <c r="I4" s="23"/>
    </row>
    <row r="5" spans="1:24" ht="24" customHeight="1" x14ac:dyDescent="0.3">
      <c r="A5" s="28"/>
      <c r="B5" s="23"/>
      <c r="C5" s="22"/>
      <c r="D5" s="23"/>
      <c r="E5" s="22"/>
      <c r="F5" s="22"/>
      <c r="G5" s="25" t="str">
        <f>IF(C5="","",IFERROR(VLOOKUP(C5,BD!D:F,2,0),""))</f>
        <v/>
      </c>
      <c r="H5" s="23"/>
      <c r="I5" s="23"/>
    </row>
    <row r="6" spans="1:24" ht="24" customHeight="1" x14ac:dyDescent="0.3">
      <c r="A6" s="28"/>
      <c r="B6" s="23"/>
      <c r="C6" s="22"/>
      <c r="D6" s="23"/>
      <c r="E6" s="22"/>
      <c r="F6" s="22"/>
      <c r="G6" s="25" t="str">
        <f>IF(C6="","",IFERROR(VLOOKUP(C6,BD!D:F,2,0),""))</f>
        <v/>
      </c>
      <c r="H6" s="23"/>
      <c r="I6" s="23"/>
    </row>
    <row r="7" spans="1:24" ht="24" customHeight="1" x14ac:dyDescent="0.3">
      <c r="A7" s="28"/>
      <c r="B7" s="23"/>
      <c r="C7" s="22"/>
      <c r="D7" s="23"/>
      <c r="E7" s="22"/>
      <c r="F7" s="22"/>
      <c r="G7" s="25" t="str">
        <f>IF(C7="","",IFERROR(VLOOKUP(C7,BD!D:F,2,0),""))</f>
        <v/>
      </c>
      <c r="H7" s="23"/>
      <c r="I7" s="23"/>
    </row>
    <row r="8" spans="1:24" ht="24" customHeight="1" x14ac:dyDescent="0.3">
      <c r="A8" s="28"/>
      <c r="B8" s="23"/>
      <c r="C8" s="22"/>
      <c r="D8" s="23"/>
      <c r="E8" s="22"/>
      <c r="F8" s="22"/>
      <c r="G8" s="25" t="str">
        <f>IF(C8="","",IFERROR(VLOOKUP(C8,BD!D:F,2,0),""))</f>
        <v/>
      </c>
      <c r="H8" s="23"/>
      <c r="I8" s="23"/>
    </row>
    <row r="9" spans="1:24" ht="24" customHeight="1" x14ac:dyDescent="0.3">
      <c r="A9" s="28"/>
      <c r="B9" s="23"/>
      <c r="C9" s="22"/>
      <c r="D9" s="23"/>
      <c r="E9" s="22"/>
      <c r="F9" s="22"/>
      <c r="G9" s="25" t="str">
        <f>IF(C9="","",IFERROR(VLOOKUP(C9,BD!D:F,2,0),""))</f>
        <v/>
      </c>
      <c r="H9" s="23"/>
      <c r="I9" s="23"/>
    </row>
    <row r="10" spans="1:24" ht="24" customHeight="1" x14ac:dyDescent="0.3">
      <c r="A10" s="28"/>
      <c r="B10" s="23"/>
      <c r="C10" s="22"/>
      <c r="D10" s="23"/>
      <c r="E10" s="22"/>
      <c r="F10" s="22"/>
      <c r="G10" s="25" t="str">
        <f>IF(C10="","",IFERROR(VLOOKUP(C10,BD!D:F,2,0),""))</f>
        <v/>
      </c>
      <c r="H10" s="23"/>
      <c r="I10" s="23"/>
    </row>
    <row r="11" spans="1:24" ht="24" customHeight="1" x14ac:dyDescent="0.3">
      <c r="A11" s="28"/>
      <c r="B11" s="23"/>
      <c r="C11" s="22"/>
      <c r="D11" s="23"/>
      <c r="E11" s="22"/>
      <c r="F11" s="22"/>
      <c r="G11" s="25" t="str">
        <f>IF(C11="","",IFERROR(VLOOKUP(C11,BD!D:F,2,0),""))</f>
        <v/>
      </c>
      <c r="H11" s="23"/>
      <c r="I11" s="23"/>
    </row>
    <row r="12" spans="1:24" ht="24" customHeight="1" x14ac:dyDescent="0.3">
      <c r="A12" s="28"/>
      <c r="B12" s="23"/>
      <c r="C12" s="22"/>
      <c r="D12" s="23"/>
      <c r="E12" s="22"/>
      <c r="F12" s="22"/>
      <c r="G12" s="25" t="str">
        <f>IF(C12="","",IFERROR(VLOOKUP(C12,BD!D:F,2,0),""))</f>
        <v/>
      </c>
      <c r="H12" s="23"/>
      <c r="I12" s="23"/>
    </row>
    <row r="13" spans="1:24" ht="24" customHeight="1" x14ac:dyDescent="0.3">
      <c r="A13" s="28"/>
      <c r="B13" s="23"/>
      <c r="C13" s="22"/>
      <c r="D13" s="23"/>
      <c r="E13" s="22"/>
      <c r="F13" s="22"/>
      <c r="G13" s="25" t="str">
        <f>IF(C13="","",IFERROR(VLOOKUP(C13,BD!D:F,2,0),""))</f>
        <v/>
      </c>
      <c r="H13" s="23"/>
      <c r="I13" s="23"/>
    </row>
    <row r="14" spans="1:24" ht="24" customHeight="1" x14ac:dyDescent="0.3">
      <c r="A14" s="28"/>
      <c r="B14" s="23"/>
      <c r="C14" s="22"/>
      <c r="D14" s="23"/>
      <c r="E14" s="22"/>
      <c r="F14" s="22"/>
      <c r="G14" s="25" t="str">
        <f>IF(C14="","",IFERROR(VLOOKUP(C14,BD!D:F,2,0),""))</f>
        <v/>
      </c>
      <c r="H14" s="23"/>
      <c r="I14" s="23"/>
    </row>
    <row r="15" spans="1:24" ht="24" customHeight="1" x14ac:dyDescent="0.3">
      <c r="A15" s="28"/>
      <c r="B15" s="23"/>
      <c r="C15" s="22"/>
      <c r="D15" s="23"/>
      <c r="E15" s="22"/>
      <c r="F15" s="22"/>
      <c r="G15" s="25" t="str">
        <f>IF(C15="","",IFERROR(VLOOKUP(C15,BD!D:F,2,0),""))</f>
        <v/>
      </c>
      <c r="H15" s="23"/>
      <c r="I15" s="23"/>
    </row>
    <row r="16" spans="1:24" s="20" customFormat="1" ht="24" customHeight="1" x14ac:dyDescent="0.3">
      <c r="A16" s="28"/>
      <c r="B16" s="23"/>
      <c r="C16" s="22"/>
      <c r="D16" s="23"/>
      <c r="E16" s="22"/>
      <c r="F16" s="22"/>
      <c r="G16" s="25" t="str">
        <f>IF(C16="","",IFERROR(VLOOKUP(C16,BD!D:F,2,0),""))</f>
        <v/>
      </c>
      <c r="H16" s="23"/>
      <c r="I16" s="23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</row>
    <row r="17" spans="1:24" s="20" customFormat="1" ht="24" customHeight="1" x14ac:dyDescent="0.3">
      <c r="A17" s="28"/>
      <c r="B17" s="23"/>
      <c r="C17" s="22"/>
      <c r="D17" s="23"/>
      <c r="E17" s="22"/>
      <c r="F17" s="22"/>
      <c r="G17" s="25" t="str">
        <f>IF(C17="","",IFERROR(VLOOKUP(C17,BD!D:F,2,0),""))</f>
        <v/>
      </c>
      <c r="H17" s="23"/>
      <c r="I17" s="23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 spans="1:24" s="20" customFormat="1" ht="24" customHeight="1" x14ac:dyDescent="0.3">
      <c r="A18" s="28"/>
      <c r="B18" s="23"/>
      <c r="C18" s="22"/>
      <c r="D18" s="23"/>
      <c r="E18" s="22"/>
      <c r="F18" s="22"/>
      <c r="G18" s="25" t="str">
        <f>IF(C18="","",IFERROR(VLOOKUP(C18,BD!D:F,2,0),""))</f>
        <v/>
      </c>
      <c r="H18" s="23"/>
      <c r="I18" s="23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 spans="1:24" s="20" customFormat="1" ht="24" customHeight="1" x14ac:dyDescent="0.3">
      <c r="A19" s="28"/>
      <c r="B19" s="23"/>
      <c r="C19" s="22"/>
      <c r="D19" s="23"/>
      <c r="E19" s="22"/>
      <c r="F19" s="22"/>
      <c r="G19" s="25" t="str">
        <f>IF(C19="","",IFERROR(VLOOKUP(C19,BD!D:F,2,0),""))</f>
        <v/>
      </c>
      <c r="H19" s="23"/>
      <c r="I19" s="23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 spans="1:24" s="20" customFormat="1" ht="24" customHeight="1" x14ac:dyDescent="0.3">
      <c r="A20" s="28"/>
      <c r="B20" s="23"/>
      <c r="C20" s="22"/>
      <c r="D20" s="23"/>
      <c r="E20" s="22"/>
      <c r="F20" s="22"/>
      <c r="G20" s="25" t="str">
        <f>IF(C20="","",IFERROR(VLOOKUP(C20,BD!D:F,2,0),""))</f>
        <v/>
      </c>
      <c r="H20" s="23"/>
      <c r="I20" s="23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</row>
    <row r="21" spans="1:24" s="20" customFormat="1" ht="24" customHeight="1" x14ac:dyDescent="0.3">
      <c r="A21" s="28"/>
      <c r="B21" s="23"/>
      <c r="C21" s="22"/>
      <c r="D21" s="23"/>
      <c r="E21" s="22"/>
      <c r="F21" s="22"/>
      <c r="G21" s="25" t="str">
        <f>IF(C21="","",IFERROR(VLOOKUP(C21,BD!D:F,2,0),""))</f>
        <v/>
      </c>
      <c r="H21" s="23"/>
      <c r="I21" s="23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</row>
    <row r="22" spans="1:24" s="20" customFormat="1" ht="24" customHeight="1" x14ac:dyDescent="0.3">
      <c r="A22" s="28"/>
      <c r="B22" s="23"/>
      <c r="C22" s="22"/>
      <c r="D22" s="23"/>
      <c r="E22" s="22"/>
      <c r="F22" s="22"/>
      <c r="G22" s="25" t="str">
        <f>IF(C22="","",IFERROR(VLOOKUP(C22,BD!D:F,2,0),""))</f>
        <v/>
      </c>
      <c r="H22" s="23"/>
      <c r="I22" s="23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 spans="1:24" s="20" customFormat="1" ht="24" customHeight="1" x14ac:dyDescent="0.3">
      <c r="A23" s="28"/>
      <c r="B23" s="23"/>
      <c r="C23" s="22"/>
      <c r="D23" s="23"/>
      <c r="E23" s="22"/>
      <c r="F23" s="22"/>
      <c r="G23" s="25" t="str">
        <f>IF(C23="","",IFERROR(VLOOKUP(C23,BD!D:F,2,0),""))</f>
        <v/>
      </c>
      <c r="H23" s="23"/>
      <c r="I23" s="23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</row>
    <row r="24" spans="1:24" s="20" customFormat="1" ht="24" customHeight="1" x14ac:dyDescent="0.3">
      <c r="A24" s="28"/>
      <c r="B24" s="23"/>
      <c r="C24" s="22"/>
      <c r="D24" s="23"/>
      <c r="E24" s="22"/>
      <c r="F24" s="22"/>
      <c r="G24" s="25" t="str">
        <f>IF(C24="","",IFERROR(VLOOKUP(C24,BD!D:F,2,0),""))</f>
        <v/>
      </c>
      <c r="H24" s="23"/>
      <c r="I24" s="23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 spans="1:24" s="20" customFormat="1" ht="24" customHeight="1" x14ac:dyDescent="0.3">
      <c r="A25" s="28"/>
      <c r="B25" s="23"/>
      <c r="C25" s="22"/>
      <c r="D25" s="23"/>
      <c r="E25" s="22"/>
      <c r="F25" s="22"/>
      <c r="G25" s="25" t="str">
        <f>IF(C25="","",IFERROR(VLOOKUP(C25,BD!D:F,2,0),""))</f>
        <v/>
      </c>
      <c r="H25" s="23"/>
      <c r="I25" s="23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6" spans="1:24" s="20" customFormat="1" ht="24" customHeight="1" x14ac:dyDescent="0.3">
      <c r="A26" s="28"/>
      <c r="B26" s="23"/>
      <c r="C26" s="22"/>
      <c r="D26" s="23"/>
      <c r="E26" s="22"/>
      <c r="F26" s="22"/>
      <c r="G26" s="25" t="str">
        <f>IF(C26="","",IFERROR(VLOOKUP(C26,BD!D:F,2,0),""))</f>
        <v/>
      </c>
      <c r="H26" s="23"/>
      <c r="I26" s="23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</row>
    <row r="27" spans="1:24" s="20" customFormat="1" ht="24" customHeight="1" x14ac:dyDescent="0.3">
      <c r="A27" s="28"/>
      <c r="B27" s="23"/>
      <c r="C27" s="22"/>
      <c r="D27" s="23"/>
      <c r="E27" s="22"/>
      <c r="F27" s="22"/>
      <c r="G27" s="25" t="str">
        <f>IF(C27="","",IFERROR(VLOOKUP(C27,BD!D:F,2,0),""))</f>
        <v/>
      </c>
      <c r="H27" s="23"/>
      <c r="I27" s="23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 spans="1:24" s="20" customFormat="1" ht="24" customHeight="1" x14ac:dyDescent="0.3">
      <c r="A28" s="28"/>
      <c r="B28" s="23"/>
      <c r="C28" s="22"/>
      <c r="D28" s="23"/>
      <c r="E28" s="22"/>
      <c r="F28" s="22"/>
      <c r="G28" s="25" t="str">
        <f>IF(C28="","",IFERROR(VLOOKUP(C28,BD!D:F,2,0),""))</f>
        <v/>
      </c>
      <c r="H28" s="23"/>
      <c r="I28" s="23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 spans="1:24" s="20" customFormat="1" ht="24" customHeight="1" x14ac:dyDescent="0.3">
      <c r="A29" s="28"/>
      <c r="B29" s="23"/>
      <c r="C29" s="22"/>
      <c r="D29" s="23"/>
      <c r="E29" s="22"/>
      <c r="F29" s="22"/>
      <c r="G29" s="25" t="str">
        <f>IF(C29="","",IFERROR(VLOOKUP(C29,BD!D:F,2,0),""))</f>
        <v/>
      </c>
      <c r="H29" s="23"/>
      <c r="I29" s="23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 spans="1:24" s="20" customFormat="1" ht="24" customHeight="1" x14ac:dyDescent="0.3">
      <c r="A30" s="28"/>
      <c r="B30" s="23"/>
      <c r="C30" s="22"/>
      <c r="D30" s="23"/>
      <c r="E30" s="22"/>
      <c r="F30" s="22"/>
      <c r="G30" s="25" t="str">
        <f>IF(C30="","",IFERROR(VLOOKUP(C30,BD!D:F,2,0),""))</f>
        <v/>
      </c>
      <c r="H30" s="23"/>
      <c r="I30" s="23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</row>
    <row r="31" spans="1:24" s="20" customFormat="1" ht="24" customHeight="1" x14ac:dyDescent="0.3">
      <c r="A31" s="28"/>
      <c r="B31" s="23"/>
      <c r="C31" s="22"/>
      <c r="D31" s="23"/>
      <c r="E31" s="22"/>
      <c r="F31" s="22"/>
      <c r="G31" s="25" t="str">
        <f>IF(C31="","",IFERROR(VLOOKUP(C31,BD!D:F,2,0),""))</f>
        <v/>
      </c>
      <c r="H31" s="23"/>
      <c r="I31" s="23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</row>
    <row r="32" spans="1:24" s="20" customFormat="1" ht="24" customHeight="1" x14ac:dyDescent="0.3">
      <c r="A32" s="28"/>
      <c r="B32" s="23"/>
      <c r="C32" s="22"/>
      <c r="D32" s="23"/>
      <c r="E32" s="22"/>
      <c r="F32" s="22"/>
      <c r="G32" s="25" t="str">
        <f>IF(C32="","",IFERROR(VLOOKUP(C32,BD!D:F,2,0),""))</f>
        <v/>
      </c>
      <c r="H32" s="23"/>
      <c r="I32" s="23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</row>
    <row r="33" spans="1:24" s="20" customFormat="1" ht="24" customHeight="1" x14ac:dyDescent="0.3">
      <c r="A33" s="28"/>
      <c r="B33" s="23"/>
      <c r="C33" s="22"/>
      <c r="D33" s="23"/>
      <c r="E33" s="22"/>
      <c r="F33" s="22"/>
      <c r="G33" s="25" t="str">
        <f>IF(C33="","",IFERROR(VLOOKUP(C33,BD!D:F,2,0),""))</f>
        <v/>
      </c>
      <c r="H33" s="23"/>
      <c r="I33" s="23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</row>
    <row r="34" spans="1:24" s="20" customFormat="1" ht="24" customHeight="1" x14ac:dyDescent="0.3">
      <c r="A34" s="28"/>
      <c r="B34" s="23"/>
      <c r="C34" s="22"/>
      <c r="D34" s="23"/>
      <c r="E34" s="22"/>
      <c r="F34" s="22"/>
      <c r="G34" s="25" t="str">
        <f>IF(C34="","",IFERROR(VLOOKUP(C34,BD!D:F,2,0),""))</f>
        <v/>
      </c>
      <c r="H34" s="23"/>
      <c r="I34" s="23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</row>
    <row r="35" spans="1:24" s="20" customFormat="1" ht="24" customHeight="1" x14ac:dyDescent="0.3">
      <c r="A35" s="28"/>
      <c r="B35" s="23"/>
      <c r="C35" s="22"/>
      <c r="D35" s="23"/>
      <c r="E35" s="22"/>
      <c r="F35" s="22"/>
      <c r="G35" s="25" t="str">
        <f>IF(C35="","",IFERROR(VLOOKUP(C35,BD!D:F,2,0),""))</f>
        <v/>
      </c>
      <c r="H35" s="23"/>
      <c r="I35" s="23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</row>
    <row r="36" spans="1:24" s="20" customFormat="1" ht="24" customHeight="1" x14ac:dyDescent="0.3">
      <c r="A36" s="28"/>
      <c r="B36" s="23"/>
      <c r="C36" s="22"/>
      <c r="D36" s="23"/>
      <c r="E36" s="22"/>
      <c r="F36" s="22"/>
      <c r="G36" s="25" t="str">
        <f>IF(C36="","",IFERROR(VLOOKUP(C36,BD!D:F,2,0),""))</f>
        <v/>
      </c>
      <c r="H36" s="23"/>
      <c r="I36" s="23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</row>
    <row r="37" spans="1:24" s="20" customFormat="1" ht="24" customHeight="1" x14ac:dyDescent="0.3">
      <c r="A37" s="28"/>
      <c r="B37" s="23"/>
      <c r="C37" s="22"/>
      <c r="D37" s="23"/>
      <c r="E37" s="22"/>
      <c r="F37" s="22"/>
      <c r="G37" s="25" t="str">
        <f>IF(C37="","",IFERROR(VLOOKUP(C37,BD!D:F,2,0),""))</f>
        <v/>
      </c>
      <c r="H37" s="23"/>
      <c r="I37" s="23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</row>
    <row r="38" spans="1:24" s="20" customFormat="1" ht="24" customHeight="1" x14ac:dyDescent="0.3">
      <c r="A38" s="28"/>
      <c r="B38" s="23"/>
      <c r="C38" s="22"/>
      <c r="D38" s="23"/>
      <c r="E38" s="22"/>
      <c r="F38" s="22"/>
      <c r="G38" s="25" t="str">
        <f>IF(C38="","",IFERROR(VLOOKUP(C38,BD!D:F,2,0),""))</f>
        <v/>
      </c>
      <c r="H38" s="23"/>
      <c r="I38" s="23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</row>
    <row r="39" spans="1:24" ht="24" customHeight="1" x14ac:dyDescent="0.3">
      <c r="A39" s="28"/>
      <c r="B39" s="23"/>
      <c r="C39" s="22"/>
      <c r="D39" s="23"/>
      <c r="E39" s="22"/>
      <c r="F39" s="22"/>
      <c r="G39" s="25" t="str">
        <f>IF(C39="","",IFERROR(VLOOKUP(C39,BD!D:F,2,0),""))</f>
        <v/>
      </c>
      <c r="H39" s="23"/>
      <c r="I39" s="23"/>
    </row>
    <row r="40" spans="1:24" ht="24" customHeight="1" x14ac:dyDescent="0.3">
      <c r="A40" s="28"/>
      <c r="B40" s="23"/>
      <c r="C40" s="22"/>
      <c r="D40" s="23"/>
      <c r="E40" s="22"/>
      <c r="F40" s="22"/>
      <c r="G40" s="25" t="str">
        <f>IF(C40="","",IFERROR(VLOOKUP(C40,BD!D:F,2,0),""))</f>
        <v/>
      </c>
      <c r="H40" s="23"/>
      <c r="I40" s="23"/>
    </row>
    <row r="41" spans="1:24" ht="24" customHeight="1" x14ac:dyDescent="0.3">
      <c r="A41" s="28"/>
      <c r="B41" s="23"/>
      <c r="C41" s="22"/>
      <c r="D41" s="23"/>
      <c r="E41" s="22"/>
      <c r="F41" s="22"/>
      <c r="G41" s="25" t="str">
        <f>IF(C41="","",IFERROR(VLOOKUP(C41,BD!D:F,2,0),""))</f>
        <v/>
      </c>
      <c r="H41" s="23"/>
      <c r="I41" s="23"/>
    </row>
    <row r="42" spans="1:24" ht="24" customHeight="1" x14ac:dyDescent="0.3">
      <c r="A42" s="28"/>
      <c r="B42" s="23"/>
      <c r="C42" s="22"/>
      <c r="D42" s="23"/>
      <c r="E42" s="22"/>
      <c r="F42" s="22"/>
      <c r="G42" s="25" t="str">
        <f>IF(C42="","",IFERROR(VLOOKUP(C42,BD!D:F,2,0),""))</f>
        <v/>
      </c>
      <c r="H42" s="23"/>
      <c r="I42" s="23"/>
    </row>
    <row r="43" spans="1:24" ht="24" customHeight="1" x14ac:dyDescent="0.3">
      <c r="A43" s="28"/>
      <c r="B43" s="23"/>
      <c r="C43" s="22"/>
      <c r="D43" s="23"/>
      <c r="E43" s="22"/>
      <c r="F43" s="22"/>
      <c r="G43" s="25" t="str">
        <f>IF(C43="","",IFERROR(VLOOKUP(C43,BD!D:F,2,0),""))</f>
        <v/>
      </c>
      <c r="H43" s="23"/>
      <c r="I43" s="23"/>
    </row>
    <row r="44" spans="1:24" ht="24" customHeight="1" x14ac:dyDescent="0.3">
      <c r="A44" s="28"/>
      <c r="B44" s="23"/>
      <c r="C44" s="22"/>
      <c r="D44" s="23"/>
      <c r="E44" s="22"/>
      <c r="F44" s="22"/>
      <c r="G44" s="25" t="str">
        <f>IF(C44="","",IFERROR(VLOOKUP(C44,BD!D:F,2,0),""))</f>
        <v/>
      </c>
      <c r="H44" s="23"/>
      <c r="I44" s="23"/>
    </row>
    <row r="45" spans="1:24" ht="24" customHeight="1" x14ac:dyDescent="0.3">
      <c r="A45" s="28"/>
      <c r="B45" s="23"/>
      <c r="C45" s="22"/>
      <c r="D45" s="23"/>
      <c r="E45" s="22"/>
      <c r="F45" s="22"/>
      <c r="G45" s="25" t="str">
        <f>IF(C45="","",IFERROR(VLOOKUP(C45,BD!D:F,2,0),""))</f>
        <v/>
      </c>
      <c r="H45" s="23"/>
      <c r="I45" s="23"/>
    </row>
    <row r="46" spans="1:24" ht="24" customHeight="1" x14ac:dyDescent="0.3">
      <c r="A46" s="28"/>
      <c r="B46" s="23"/>
      <c r="C46" s="22"/>
      <c r="D46" s="23"/>
      <c r="E46" s="22"/>
      <c r="F46" s="22"/>
      <c r="G46" s="25" t="str">
        <f>IF(C46="","",IFERROR(VLOOKUP(C46,BD!D:F,2,0),""))</f>
        <v/>
      </c>
      <c r="H46" s="23"/>
      <c r="I46" s="23"/>
    </row>
    <row r="47" spans="1:24" ht="24" customHeight="1" x14ac:dyDescent="0.3">
      <c r="A47" s="28"/>
      <c r="B47" s="23"/>
      <c r="C47" s="22"/>
      <c r="D47" s="23"/>
      <c r="E47" s="22"/>
      <c r="F47" s="22"/>
      <c r="G47" s="25" t="str">
        <f>IF(C47="","",IFERROR(VLOOKUP(C47,BD!D:F,2,0),""))</f>
        <v/>
      </c>
      <c r="H47" s="23"/>
      <c r="I47" s="23"/>
    </row>
    <row r="48" spans="1:24" ht="24" customHeight="1" x14ac:dyDescent="0.3">
      <c r="A48" s="28"/>
      <c r="B48" s="23"/>
      <c r="C48" s="22"/>
      <c r="D48" s="23"/>
      <c r="E48" s="22"/>
      <c r="F48" s="22"/>
      <c r="G48" s="25" t="str">
        <f>IF(C48="","",IFERROR(VLOOKUP(C48,BD!D:F,2,0),""))</f>
        <v/>
      </c>
      <c r="H48" s="23"/>
      <c r="I48" s="23"/>
    </row>
    <row r="49" spans="1:9" ht="24" customHeight="1" x14ac:dyDescent="0.3">
      <c r="A49" s="28"/>
      <c r="B49" s="23"/>
      <c r="C49" s="22"/>
      <c r="D49" s="23"/>
      <c r="E49" s="22"/>
      <c r="F49" s="22"/>
      <c r="G49" s="25" t="str">
        <f>IF(C49="","",IFERROR(VLOOKUP(C49,BD!D:F,2,0),""))</f>
        <v/>
      </c>
      <c r="H49" s="23"/>
      <c r="I49" s="23"/>
    </row>
    <row r="50" spans="1:9" ht="24" customHeight="1" x14ac:dyDescent="0.3">
      <c r="A50" s="28"/>
      <c r="B50" s="23"/>
      <c r="C50" s="22"/>
      <c r="D50" s="23"/>
      <c r="E50" s="22"/>
      <c r="F50" s="22"/>
      <c r="G50" s="25" t="str">
        <f>IF(C50="","",IFERROR(VLOOKUP(C50,BD!D:F,2,0),""))</f>
        <v/>
      </c>
      <c r="H50" s="23"/>
      <c r="I50" s="23"/>
    </row>
    <row r="51" spans="1:9" ht="24" customHeight="1" x14ac:dyDescent="0.3">
      <c r="A51" s="28"/>
      <c r="B51" s="23"/>
      <c r="C51" s="22"/>
      <c r="D51" s="23"/>
      <c r="E51" s="22"/>
      <c r="F51" s="22"/>
      <c r="G51" s="25" t="str">
        <f>IF(C51="","",IFERROR(VLOOKUP(C51,BD!D:F,2,0),""))</f>
        <v/>
      </c>
      <c r="H51" s="23"/>
      <c r="I51" s="23"/>
    </row>
    <row r="52" spans="1:9" ht="24" customHeight="1" x14ac:dyDescent="0.3">
      <c r="A52" s="28"/>
      <c r="B52" s="23"/>
      <c r="C52" s="22"/>
      <c r="D52" s="23"/>
      <c r="E52" s="22"/>
      <c r="F52" s="22"/>
      <c r="G52" s="25" t="str">
        <f>IF(C52="","",IFERROR(VLOOKUP(C52,BD!D:F,2,0),""))</f>
        <v/>
      </c>
      <c r="H52" s="23"/>
      <c r="I52" s="23"/>
    </row>
    <row r="53" spans="1:9" ht="24" customHeight="1" x14ac:dyDescent="0.3">
      <c r="A53" s="28"/>
      <c r="B53" s="23"/>
      <c r="C53" s="22"/>
      <c r="D53" s="23"/>
      <c r="E53" s="22"/>
      <c r="F53" s="22"/>
      <c r="G53" s="25" t="str">
        <f>IF(C53="","",IFERROR(VLOOKUP(C53,BD!D:F,2,0),""))</f>
        <v/>
      </c>
      <c r="H53" s="23"/>
      <c r="I53" s="23"/>
    </row>
    <row r="54" spans="1:9" ht="24" customHeight="1" x14ac:dyDescent="0.3">
      <c r="A54" s="28"/>
      <c r="B54" s="23"/>
      <c r="C54" s="22"/>
      <c r="D54" s="23"/>
      <c r="E54" s="22"/>
      <c r="F54" s="22"/>
      <c r="G54" s="25" t="str">
        <f>IF(C54="","",IFERROR(VLOOKUP(C54,BD!D:F,2,0),""))</f>
        <v/>
      </c>
      <c r="H54" s="23"/>
      <c r="I54" s="23"/>
    </row>
    <row r="55" spans="1:9" ht="24" customHeight="1" x14ac:dyDescent="0.3">
      <c r="A55" s="28"/>
      <c r="B55" s="23"/>
      <c r="C55" s="22"/>
      <c r="D55" s="23"/>
      <c r="E55" s="22"/>
      <c r="F55" s="22"/>
      <c r="G55" s="25" t="str">
        <f>IF(C55="","",IFERROR(VLOOKUP(C55,BD!D:F,2,0),""))</f>
        <v/>
      </c>
      <c r="H55" s="23"/>
      <c r="I55" s="23"/>
    </row>
    <row r="56" spans="1:9" ht="24" customHeight="1" x14ac:dyDescent="0.3">
      <c r="A56" s="28"/>
      <c r="B56" s="23"/>
      <c r="C56" s="22"/>
      <c r="D56" s="23"/>
      <c r="E56" s="22"/>
      <c r="F56" s="22"/>
      <c r="G56" s="25" t="str">
        <f>IF(C56="","",IFERROR(VLOOKUP(C56,BD!D:F,2,0),""))</f>
        <v/>
      </c>
      <c r="H56" s="23"/>
      <c r="I56" s="23"/>
    </row>
    <row r="57" spans="1:9" ht="24" customHeight="1" x14ac:dyDescent="0.3">
      <c r="A57" s="28"/>
      <c r="B57" s="23"/>
      <c r="C57" s="22"/>
      <c r="D57" s="23"/>
      <c r="E57" s="22"/>
      <c r="F57" s="22"/>
      <c r="G57" s="25" t="str">
        <f>IF(C57="","",IFERROR(VLOOKUP(C57,BD!D:F,2,0),""))</f>
        <v/>
      </c>
      <c r="H57" s="23"/>
      <c r="I57" s="23"/>
    </row>
    <row r="58" spans="1:9" ht="24" customHeight="1" x14ac:dyDescent="0.3">
      <c r="A58" s="28"/>
      <c r="B58" s="23"/>
      <c r="C58" s="22"/>
      <c r="D58" s="23"/>
      <c r="E58" s="22"/>
      <c r="F58" s="22"/>
      <c r="G58" s="25" t="str">
        <f>IF(C58="","",IFERROR(VLOOKUP(C58,BD!D:F,2,0),""))</f>
        <v/>
      </c>
      <c r="H58" s="23"/>
      <c r="I58" s="23"/>
    </row>
    <row r="59" spans="1:9" ht="24" customHeight="1" x14ac:dyDescent="0.3">
      <c r="A59" s="28"/>
      <c r="B59" s="23"/>
      <c r="C59" s="22"/>
      <c r="D59" s="23"/>
      <c r="E59" s="22"/>
      <c r="F59" s="22"/>
      <c r="G59" s="25" t="str">
        <f>IF(C59="","",IFERROR(VLOOKUP(C59,BD!D:F,2,0),""))</f>
        <v/>
      </c>
      <c r="H59" s="23"/>
      <c r="I59" s="23"/>
    </row>
    <row r="60" spans="1:9" ht="24" customHeight="1" x14ac:dyDescent="0.3">
      <c r="A60" s="28"/>
      <c r="B60" s="23"/>
      <c r="C60" s="22"/>
      <c r="D60" s="23"/>
      <c r="E60" s="22"/>
      <c r="F60" s="22"/>
      <c r="G60" s="25" t="str">
        <f>IF(C60="","",IFERROR(VLOOKUP(C60,BD!D:F,2,0),""))</f>
        <v/>
      </c>
      <c r="H60" s="23"/>
      <c r="I60" s="23"/>
    </row>
    <row r="61" spans="1:9" ht="24" customHeight="1" x14ac:dyDescent="0.3">
      <c r="A61" s="28"/>
      <c r="B61" s="23"/>
      <c r="C61" s="22"/>
      <c r="D61" s="23"/>
      <c r="E61" s="22"/>
      <c r="F61" s="22"/>
      <c r="G61" s="25" t="str">
        <f>IF(C61="","",IFERROR(VLOOKUP(C61,BD!D:F,2,0),""))</f>
        <v/>
      </c>
      <c r="H61" s="23"/>
      <c r="I61" s="23"/>
    </row>
    <row r="62" spans="1:9" ht="24" customHeight="1" x14ac:dyDescent="0.3">
      <c r="A62" s="28"/>
      <c r="B62" s="23"/>
      <c r="C62" s="22"/>
      <c r="D62" s="23"/>
      <c r="E62" s="22"/>
      <c r="F62" s="22"/>
      <c r="G62" s="25" t="str">
        <f>IF(C62="","",IFERROR(VLOOKUP(C62,BD!D:F,2,0),""))</f>
        <v/>
      </c>
      <c r="H62" s="23"/>
      <c r="I62" s="23"/>
    </row>
    <row r="63" spans="1:9" ht="24" customHeight="1" x14ac:dyDescent="0.3">
      <c r="A63" s="28"/>
      <c r="B63" s="23"/>
      <c r="C63" s="22"/>
      <c r="D63" s="23"/>
      <c r="E63" s="22"/>
      <c r="F63" s="22"/>
      <c r="G63" s="25" t="str">
        <f>IF(C63="","",IFERROR(VLOOKUP(C63,BD!D:F,2,0),""))</f>
        <v/>
      </c>
      <c r="H63" s="23"/>
      <c r="I63" s="23"/>
    </row>
    <row r="64" spans="1:9" ht="24" customHeight="1" x14ac:dyDescent="0.3">
      <c r="A64" s="28"/>
      <c r="B64" s="23"/>
      <c r="C64" s="22"/>
      <c r="D64" s="23"/>
      <c r="E64" s="22"/>
      <c r="F64" s="22"/>
      <c r="G64" s="25" t="str">
        <f>IF(C64="","",IFERROR(VLOOKUP(C64,BD!D:F,2,0),""))</f>
        <v/>
      </c>
      <c r="H64" s="23"/>
      <c r="I64" s="23"/>
    </row>
    <row r="65" spans="1:9" ht="24" customHeight="1" x14ac:dyDescent="0.3">
      <c r="A65" s="28"/>
      <c r="B65" s="23"/>
      <c r="C65" s="22"/>
      <c r="D65" s="23"/>
      <c r="E65" s="22"/>
      <c r="F65" s="22"/>
      <c r="G65" s="25" t="str">
        <f>IF(C65="","",IFERROR(VLOOKUP(C65,BD!D:F,2,0),""))</f>
        <v/>
      </c>
      <c r="H65" s="23"/>
      <c r="I65" s="23"/>
    </row>
    <row r="66" spans="1:9" ht="24" customHeight="1" x14ac:dyDescent="0.3">
      <c r="A66" s="28"/>
      <c r="B66" s="23"/>
      <c r="C66" s="22"/>
      <c r="D66" s="23"/>
      <c r="E66" s="22"/>
      <c r="F66" s="22"/>
      <c r="G66" s="25" t="str">
        <f>IF(C66="","",IFERROR(VLOOKUP(C66,BD!D:F,2,0),""))</f>
        <v/>
      </c>
      <c r="H66" s="23"/>
      <c r="I66" s="23"/>
    </row>
    <row r="67" spans="1:9" ht="24" customHeight="1" x14ac:dyDescent="0.3">
      <c r="A67" s="28"/>
      <c r="B67" s="23"/>
      <c r="C67" s="22"/>
      <c r="D67" s="23"/>
      <c r="E67" s="22"/>
      <c r="F67" s="22"/>
      <c r="G67" s="25" t="str">
        <f>IF(C67="","",IFERROR(VLOOKUP(C67,BD!D:F,2,0),""))</f>
        <v/>
      </c>
      <c r="H67" s="23"/>
      <c r="I67" s="23"/>
    </row>
    <row r="68" spans="1:9" ht="24" customHeight="1" x14ac:dyDescent="0.3">
      <c r="A68" s="28"/>
      <c r="B68" s="23"/>
      <c r="C68" s="22"/>
      <c r="D68" s="23"/>
      <c r="E68" s="22"/>
      <c r="F68" s="22"/>
      <c r="G68" s="25" t="str">
        <f>IF(C68="","",IFERROR(VLOOKUP(C68,BD!D:F,2,0),""))</f>
        <v/>
      </c>
      <c r="H68" s="23"/>
      <c r="I68" s="23"/>
    </row>
    <row r="69" spans="1:9" ht="24" customHeight="1" x14ac:dyDescent="0.3">
      <c r="A69" s="28"/>
      <c r="B69" s="23"/>
      <c r="C69" s="22"/>
      <c r="D69" s="23"/>
      <c r="E69" s="22"/>
      <c r="F69" s="22"/>
      <c r="G69" s="25" t="str">
        <f>IF(C69="","",IFERROR(VLOOKUP(C69,BD!D:F,2,0),""))</f>
        <v/>
      </c>
      <c r="H69" s="23"/>
      <c r="I69" s="23"/>
    </row>
    <row r="70" spans="1:9" ht="24" customHeight="1" x14ac:dyDescent="0.3">
      <c r="A70" s="28"/>
      <c r="B70" s="23"/>
      <c r="C70" s="22"/>
      <c r="D70" s="23"/>
      <c r="E70" s="22"/>
      <c r="F70" s="22"/>
      <c r="G70" s="25" t="str">
        <f>IF(C70="","",IFERROR(VLOOKUP(C70,BD!D:F,2,0),""))</f>
        <v/>
      </c>
      <c r="H70" s="23"/>
      <c r="I70" s="23"/>
    </row>
    <row r="71" spans="1:9" ht="24" customHeight="1" x14ac:dyDescent="0.3">
      <c r="A71" s="28"/>
      <c r="B71" s="23"/>
      <c r="C71" s="22"/>
      <c r="D71" s="23"/>
      <c r="E71" s="22"/>
      <c r="F71" s="22"/>
      <c r="G71" s="25" t="str">
        <f>IF(C71="","",IFERROR(VLOOKUP(C71,BD!D:F,2,0),""))</f>
        <v/>
      </c>
      <c r="H71" s="23"/>
      <c r="I71" s="23"/>
    </row>
    <row r="72" spans="1:9" ht="24" customHeight="1" x14ac:dyDescent="0.3">
      <c r="A72" s="28"/>
      <c r="B72" s="23"/>
      <c r="C72" s="22"/>
      <c r="D72" s="23"/>
      <c r="E72" s="22"/>
      <c r="F72" s="22"/>
      <c r="G72" s="25" t="str">
        <f>IF(C72="","",IFERROR(VLOOKUP(C72,BD!D:F,2,0),""))</f>
        <v/>
      </c>
      <c r="H72" s="23"/>
      <c r="I72" s="23"/>
    </row>
    <row r="73" spans="1:9" ht="24" customHeight="1" x14ac:dyDescent="0.3">
      <c r="A73" s="28"/>
      <c r="B73" s="23"/>
      <c r="C73" s="22"/>
      <c r="D73" s="23"/>
      <c r="E73" s="22"/>
      <c r="F73" s="22"/>
      <c r="G73" s="25" t="str">
        <f>IF(C73="","",IFERROR(VLOOKUP(C73,BD!D:F,2,0),""))</f>
        <v/>
      </c>
      <c r="H73" s="23"/>
      <c r="I73" s="23"/>
    </row>
    <row r="74" spans="1:9" ht="24" customHeight="1" x14ac:dyDescent="0.3">
      <c r="A74" s="28"/>
      <c r="B74" s="23"/>
      <c r="C74" s="22"/>
      <c r="D74" s="23"/>
      <c r="E74" s="22"/>
      <c r="F74" s="22"/>
      <c r="G74" s="25" t="str">
        <f>IF(C74="","",IFERROR(VLOOKUP(C74,BD!D:F,2,0),""))</f>
        <v/>
      </c>
      <c r="H74" s="23"/>
      <c r="I74" s="23"/>
    </row>
    <row r="75" spans="1:9" ht="24" customHeight="1" x14ac:dyDescent="0.3">
      <c r="A75" s="28"/>
      <c r="B75" s="23"/>
      <c r="C75" s="22"/>
      <c r="D75" s="23"/>
      <c r="E75" s="22"/>
      <c r="F75" s="22"/>
      <c r="G75" s="25" t="str">
        <f>IF(C75="","",IFERROR(VLOOKUP(C75,BD!D:F,2,0),""))</f>
        <v/>
      </c>
      <c r="H75" s="23"/>
      <c r="I75" s="23"/>
    </row>
    <row r="76" spans="1:9" ht="24" customHeight="1" x14ac:dyDescent="0.3">
      <c r="A76" s="28"/>
      <c r="B76" s="23"/>
      <c r="C76" s="22"/>
      <c r="D76" s="23"/>
      <c r="E76" s="22"/>
      <c r="F76" s="22"/>
      <c r="G76" s="25" t="str">
        <f>IF(C76="","",IFERROR(VLOOKUP(C76,BD!D:F,2,0),""))</f>
        <v/>
      </c>
      <c r="H76" s="23"/>
      <c r="I76" s="23"/>
    </row>
    <row r="77" spans="1:9" ht="24" customHeight="1" x14ac:dyDescent="0.3">
      <c r="A77" s="28"/>
      <c r="B77" s="23"/>
      <c r="C77" s="22"/>
      <c r="D77" s="23"/>
      <c r="E77" s="22"/>
      <c r="F77" s="22"/>
      <c r="G77" s="25" t="str">
        <f>IF(C77="","",IFERROR(VLOOKUP(C77,BD!D:F,2,0),""))</f>
        <v/>
      </c>
      <c r="H77" s="23"/>
      <c r="I77" s="23"/>
    </row>
    <row r="78" spans="1:9" ht="24" customHeight="1" x14ac:dyDescent="0.3">
      <c r="A78" s="28"/>
      <c r="B78" s="23"/>
      <c r="C78" s="22"/>
      <c r="D78" s="23"/>
      <c r="E78" s="22"/>
      <c r="F78" s="22"/>
      <c r="G78" s="25" t="str">
        <f>IF(C78="","",IFERROR(VLOOKUP(C78,BD!D:F,2,0),""))</f>
        <v/>
      </c>
      <c r="H78" s="23"/>
      <c r="I78" s="23"/>
    </row>
    <row r="79" spans="1:9" ht="24" customHeight="1" x14ac:dyDescent="0.3">
      <c r="A79" s="28"/>
      <c r="B79" s="23"/>
      <c r="C79" s="22"/>
      <c r="D79" s="23"/>
      <c r="E79" s="22"/>
      <c r="F79" s="22"/>
      <c r="G79" s="25" t="str">
        <f>IF(C79="","",IFERROR(VLOOKUP(C79,BD!D:F,2,0),""))</f>
        <v/>
      </c>
      <c r="H79" s="23"/>
      <c r="I79" s="23"/>
    </row>
    <row r="80" spans="1:9" ht="24" customHeight="1" x14ac:dyDescent="0.3">
      <c r="A80" s="28"/>
      <c r="B80" s="23"/>
      <c r="C80" s="22"/>
      <c r="D80" s="23"/>
      <c r="E80" s="22"/>
      <c r="F80" s="22"/>
      <c r="G80" s="25" t="str">
        <f>IF(C80="","",IFERROR(VLOOKUP(C80,BD!D:F,2,0),""))</f>
        <v/>
      </c>
      <c r="H80" s="23"/>
      <c r="I80" s="23"/>
    </row>
    <row r="81" spans="1:9" ht="24" customHeight="1" x14ac:dyDescent="0.3">
      <c r="A81" s="28"/>
      <c r="B81" s="23"/>
      <c r="C81" s="22"/>
      <c r="D81" s="23"/>
      <c r="E81" s="22"/>
      <c r="F81" s="22"/>
      <c r="G81" s="25" t="str">
        <f>IF(C81="","",IFERROR(VLOOKUP(C81,BD!D:F,2,0),""))</f>
        <v/>
      </c>
      <c r="H81" s="23"/>
      <c r="I81" s="23"/>
    </row>
    <row r="82" spans="1:9" ht="24" customHeight="1" x14ac:dyDescent="0.3">
      <c r="A82" s="28"/>
      <c r="B82" s="23"/>
      <c r="C82" s="22"/>
      <c r="D82" s="23"/>
      <c r="E82" s="22"/>
      <c r="F82" s="22"/>
      <c r="G82" s="25" t="str">
        <f>IF(C82="","",IFERROR(VLOOKUP(C82,BD!D:F,2,0),""))</f>
        <v/>
      </c>
      <c r="H82" s="23"/>
      <c r="I82" s="23"/>
    </row>
    <row r="83" spans="1:9" ht="24" customHeight="1" x14ac:dyDescent="0.3">
      <c r="A83" s="28"/>
      <c r="B83" s="23"/>
      <c r="C83" s="22"/>
      <c r="D83" s="23"/>
      <c r="E83" s="22"/>
      <c r="F83" s="22"/>
      <c r="G83" s="25" t="str">
        <f>IF(C83="","",IFERROR(VLOOKUP(C83,BD!D:F,2,0),""))</f>
        <v/>
      </c>
      <c r="H83" s="23"/>
      <c r="I83" s="23"/>
    </row>
    <row r="84" spans="1:9" ht="24" customHeight="1" x14ac:dyDescent="0.3">
      <c r="A84" s="28"/>
      <c r="B84" s="23"/>
      <c r="C84" s="22"/>
      <c r="D84" s="23"/>
      <c r="E84" s="22"/>
      <c r="F84" s="22"/>
      <c r="G84" s="25" t="str">
        <f>IF(C84="","",IFERROR(VLOOKUP(C84,BD!D:F,2,0),""))</f>
        <v/>
      </c>
      <c r="H84" s="23"/>
      <c r="I84" s="23"/>
    </row>
    <row r="85" spans="1:9" ht="24" customHeight="1" x14ac:dyDescent="0.3">
      <c r="A85" s="28"/>
      <c r="B85" s="23"/>
      <c r="C85" s="22"/>
      <c r="D85" s="23"/>
      <c r="E85" s="22"/>
      <c r="F85" s="22"/>
      <c r="G85" s="25" t="str">
        <f>IF(C85="","",IFERROR(VLOOKUP(C85,BD!D:F,2,0),""))</f>
        <v/>
      </c>
      <c r="H85" s="23"/>
      <c r="I85" s="23"/>
    </row>
    <row r="86" spans="1:9" ht="24" customHeight="1" x14ac:dyDescent="0.3">
      <c r="A86" s="28"/>
      <c r="B86" s="23"/>
      <c r="C86" s="22"/>
      <c r="D86" s="23"/>
      <c r="E86" s="22"/>
      <c r="F86" s="22"/>
      <c r="G86" s="25" t="str">
        <f>IF(C86="","",IFERROR(VLOOKUP(C86,BD!D:F,2,0),""))</f>
        <v/>
      </c>
      <c r="H86" s="23"/>
      <c r="I86" s="23"/>
    </row>
    <row r="87" spans="1:9" ht="24" customHeight="1" x14ac:dyDescent="0.3">
      <c r="A87" s="28"/>
      <c r="B87" s="23"/>
      <c r="C87" s="22"/>
      <c r="D87" s="23"/>
      <c r="E87" s="22"/>
      <c r="F87" s="22"/>
      <c r="G87" s="25" t="str">
        <f>IF(C87="","",IFERROR(VLOOKUP(C87,BD!D:F,2,0),""))</f>
        <v/>
      </c>
      <c r="H87" s="23"/>
      <c r="I87" s="23"/>
    </row>
    <row r="88" spans="1:9" ht="24" customHeight="1" x14ac:dyDescent="0.3">
      <c r="A88" s="28"/>
      <c r="B88" s="23"/>
      <c r="C88" s="22"/>
      <c r="D88" s="23"/>
      <c r="E88" s="22"/>
      <c r="F88" s="22"/>
      <c r="G88" s="25" t="str">
        <f>IF(C88="","",IFERROR(VLOOKUP(C88,BD!D:F,2,0),""))</f>
        <v/>
      </c>
      <c r="H88" s="23"/>
      <c r="I88" s="23"/>
    </row>
    <row r="89" spans="1:9" ht="24" customHeight="1" x14ac:dyDescent="0.3">
      <c r="A89" s="28"/>
      <c r="B89" s="23"/>
      <c r="C89" s="22"/>
      <c r="D89" s="23"/>
      <c r="E89" s="22"/>
      <c r="F89" s="22"/>
      <c r="G89" s="25" t="str">
        <f>IF(C89="","",IFERROR(VLOOKUP(C89,BD!D:F,2,0),""))</f>
        <v/>
      </c>
      <c r="H89" s="23"/>
      <c r="I89" s="23"/>
    </row>
    <row r="90" spans="1:9" ht="24" customHeight="1" x14ac:dyDescent="0.3">
      <c r="A90" s="28"/>
      <c r="B90" s="23"/>
      <c r="C90" s="22"/>
      <c r="D90" s="23"/>
      <c r="E90" s="22"/>
      <c r="F90" s="22"/>
      <c r="G90" s="25" t="str">
        <f>IF(C90="","",IFERROR(VLOOKUP(C90,BD!D:F,2,0),""))</f>
        <v/>
      </c>
      <c r="H90" s="23"/>
      <c r="I90" s="23"/>
    </row>
    <row r="91" spans="1:9" ht="24" customHeight="1" x14ac:dyDescent="0.3">
      <c r="A91" s="28"/>
      <c r="B91" s="23"/>
      <c r="C91" s="22"/>
      <c r="D91" s="23"/>
      <c r="E91" s="22"/>
      <c r="F91" s="22"/>
      <c r="G91" s="25" t="str">
        <f>IF(C91="","",IFERROR(VLOOKUP(C91,BD!D:F,2,0),""))</f>
        <v/>
      </c>
      <c r="H91" s="23"/>
      <c r="I91" s="23"/>
    </row>
    <row r="92" spans="1:9" ht="24" customHeight="1" x14ac:dyDescent="0.3">
      <c r="A92" s="28"/>
      <c r="B92" s="23"/>
      <c r="C92" s="22"/>
      <c r="D92" s="23"/>
      <c r="E92" s="22"/>
      <c r="F92" s="22"/>
      <c r="G92" s="25" t="str">
        <f>IF(C92="","",IFERROR(VLOOKUP(C92,BD!D:F,2,0),""))</f>
        <v/>
      </c>
      <c r="H92" s="23"/>
      <c r="I92" s="23"/>
    </row>
    <row r="93" spans="1:9" ht="24" customHeight="1" x14ac:dyDescent="0.3">
      <c r="A93" s="28"/>
      <c r="B93" s="23"/>
      <c r="C93" s="22"/>
      <c r="D93" s="23"/>
      <c r="E93" s="22"/>
      <c r="F93" s="22"/>
      <c r="G93" s="25" t="str">
        <f>IF(C93="","",IFERROR(VLOOKUP(C93,BD!D:F,2,0),""))</f>
        <v/>
      </c>
      <c r="H93" s="23"/>
      <c r="I93" s="23"/>
    </row>
    <row r="94" spans="1:9" ht="24" customHeight="1" x14ac:dyDescent="0.3">
      <c r="A94" s="28"/>
      <c r="B94" s="23"/>
      <c r="C94" s="22"/>
      <c r="D94" s="23"/>
      <c r="E94" s="22"/>
      <c r="F94" s="22"/>
      <c r="G94" s="25" t="str">
        <f>IF(C94="","",IFERROR(VLOOKUP(C94,BD!D:F,2,0),""))</f>
        <v/>
      </c>
      <c r="H94" s="23"/>
      <c r="I94" s="23"/>
    </row>
    <row r="95" spans="1:9" ht="24" customHeight="1" x14ac:dyDescent="0.3">
      <c r="A95" s="28"/>
      <c r="B95" s="23"/>
      <c r="C95" s="22"/>
      <c r="D95" s="23"/>
      <c r="E95" s="22"/>
      <c r="F95" s="22"/>
      <c r="G95" s="25" t="str">
        <f>IF(C95="","",IFERROR(VLOOKUP(C95,BD!D:F,2,0),""))</f>
        <v/>
      </c>
      <c r="H95" s="23"/>
      <c r="I95" s="23"/>
    </row>
    <row r="96" spans="1:9" ht="24" customHeight="1" x14ac:dyDescent="0.3">
      <c r="A96" s="28"/>
      <c r="B96" s="23"/>
      <c r="C96" s="22"/>
      <c r="D96" s="23"/>
      <c r="E96" s="22"/>
      <c r="F96" s="22"/>
      <c r="G96" s="25" t="str">
        <f>IF(C96="","",IFERROR(VLOOKUP(C96,BD!D:F,2,0),""))</f>
        <v/>
      </c>
      <c r="H96" s="23"/>
      <c r="I96" s="23"/>
    </row>
    <row r="97" spans="1:9" ht="24" customHeight="1" x14ac:dyDescent="0.3">
      <c r="A97" s="28"/>
      <c r="B97" s="23"/>
      <c r="C97" s="22"/>
      <c r="D97" s="23"/>
      <c r="E97" s="22"/>
      <c r="F97" s="22"/>
      <c r="G97" s="25" t="str">
        <f>IF(C97="","",IFERROR(VLOOKUP(C97,BD!D:F,2,0),""))</f>
        <v/>
      </c>
      <c r="H97" s="23"/>
      <c r="I97" s="23"/>
    </row>
    <row r="98" spans="1:9" ht="24" customHeight="1" x14ac:dyDescent="0.3">
      <c r="A98" s="28"/>
      <c r="B98" s="23"/>
      <c r="C98" s="22"/>
      <c r="D98" s="23"/>
      <c r="E98" s="22"/>
      <c r="F98" s="22"/>
      <c r="G98" s="25" t="str">
        <f>IF(C98="","",IFERROR(VLOOKUP(C98,BD!D:F,2,0),""))</f>
        <v/>
      </c>
      <c r="H98" s="23"/>
      <c r="I98" s="23"/>
    </row>
    <row r="99" spans="1:9" ht="24" customHeight="1" x14ac:dyDescent="0.3">
      <c r="A99" s="28"/>
      <c r="B99" s="23"/>
      <c r="C99" s="22"/>
      <c r="D99" s="23"/>
      <c r="E99" s="22"/>
      <c r="F99" s="22"/>
      <c r="G99" s="25" t="str">
        <f>IF(C99="","",IFERROR(VLOOKUP(C99,BD!D:F,2,0),""))</f>
        <v/>
      </c>
      <c r="H99" s="23"/>
      <c r="I99" s="23"/>
    </row>
    <row r="100" spans="1:9" ht="24" customHeight="1" x14ac:dyDescent="0.3">
      <c r="A100" s="28"/>
      <c r="B100" s="23"/>
      <c r="C100" s="22"/>
      <c r="D100" s="23"/>
      <c r="E100" s="22"/>
      <c r="F100" s="22"/>
      <c r="G100" s="25" t="str">
        <f>IF(C100="","",IFERROR(VLOOKUP(C100,BD!D:F,2,0),""))</f>
        <v/>
      </c>
      <c r="H100" s="23"/>
      <c r="I100" s="23"/>
    </row>
    <row r="101" spans="1:9" hidden="1" x14ac:dyDescent="0.3">
      <c r="B101" s="23"/>
      <c r="C101" s="22"/>
      <c r="D101" s="23"/>
    </row>
    <row r="102" spans="1:9" hidden="1" x14ac:dyDescent="0.3">
      <c r="B102" s="23"/>
      <c r="C102" s="22"/>
      <c r="D102" s="23"/>
    </row>
  </sheetData>
  <sheetProtection algorithmName="SHA-512" hashValue="fMoIo2FNn0Ur/NtsKh2ljYwd3YWLcfN7+6PdIR3zrTpYI29oRO5Nv8X6s4UI6zNPa9Avalt1wJpb5tvLoxrxxA==" saltValue="1HBSH97b61YHO9R4S4mfaQ==" spinCount="100000" sheet="1" objects="1" scenarios="1"/>
  <dataValidations count="4">
    <dataValidation type="list" allowBlank="1" showInputMessage="1" showErrorMessage="1" sqref="D2:D102" xr:uid="{BFBDB07A-0ABA-4962-B870-6A280F6DAD8A}">
      <formula1>INDIRECT($C2)</formula1>
    </dataValidation>
    <dataValidation type="list" allowBlank="1" showInputMessage="1" showErrorMessage="1" sqref="B2:B102" xr:uid="{F77BF796-D5ED-423F-9DB0-14688D76E705}">
      <formula1>Direcciones</formula1>
    </dataValidation>
    <dataValidation type="list" allowBlank="1" showInputMessage="1" showErrorMessage="1" sqref="C2:C102" xr:uid="{9F5242F9-586D-4CD2-9B1C-7B5AA7FA3E51}">
      <formula1>INDIRECT($B2)</formula1>
    </dataValidation>
    <dataValidation type="list" allowBlank="1" showInputMessage="1" showErrorMessage="1" sqref="A2:A100" xr:uid="{6DAC8106-2ED0-4E53-B92C-1D544FC75A97}">
      <formula1>INDIRECT($J$1)</formula1>
    </dataValidation>
  </dataValidations>
  <pageMargins left="0.7" right="0.7" top="0.75" bottom="0.75" header="0.3" footer="0.3"/>
  <ignoredErrors>
    <ignoredError sqref="J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7476925-3077-4914-9CE7-2A0899DA09D3}">
          <x14:formula1>
            <xm:f>BD!$O$2:$O$8</xm:f>
          </x14:formula1>
          <xm:sqref>H2:H100</xm:sqref>
        </x14:dataValidation>
        <x14:dataValidation type="list" allowBlank="1" showInputMessage="1" showErrorMessage="1" xr:uid="{5DDD7D0E-0777-41EF-9EA3-D9ACDE791A8F}">
          <x14:formula1>
            <xm:f>BD!$N$2:$N$6</xm:f>
          </x14:formula1>
          <xm:sqref>F2:F100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A95E4-E9B9-4254-9068-E46B70FE7D47}">
  <sheetPr codeName="Hoja2">
    <tabColor theme="0" tint="-4.9989318521683403E-2"/>
  </sheetPr>
  <dimension ref="A1:AA451"/>
  <sheetViews>
    <sheetView showGridLines="0" zoomScale="80" zoomScaleNormal="80" workbookViewId="0">
      <pane ySplit="1" topLeftCell="A2" activePane="bottomLeft" state="frozen"/>
      <selection pane="bottomLeft"/>
    </sheetView>
  </sheetViews>
  <sheetFormatPr baseColWidth="10" defaultColWidth="0" defaultRowHeight="24" customHeight="1" zeroHeight="1" x14ac:dyDescent="0.3"/>
  <cols>
    <col min="1" max="1" width="20.5546875" style="8" customWidth="1"/>
    <col min="2" max="2" width="3.109375" style="8" customWidth="1"/>
    <col min="3" max="4" width="20.5546875" style="8" customWidth="1"/>
    <col min="5" max="5" width="13.88671875" style="8" customWidth="1"/>
    <col min="6" max="6" width="13.88671875" style="2" hidden="1" customWidth="1"/>
    <col min="7" max="7" width="3.109375" style="2" customWidth="1"/>
    <col min="8" max="8" width="19.44140625" style="3" customWidth="1"/>
    <col min="9" max="9" width="19.44140625" style="2" customWidth="1"/>
    <col min="10" max="11" width="27.44140625" style="2" customWidth="1"/>
    <col min="12" max="12" width="3.109375" style="2" customWidth="1"/>
    <col min="13" max="14" width="17.5546875" style="2" customWidth="1"/>
    <col min="15" max="15" width="17.5546875" style="3" customWidth="1"/>
    <col min="16" max="16" width="3.109375" style="3" customWidth="1"/>
    <col min="17" max="17" width="8.5546875" style="2" customWidth="1"/>
    <col min="18" max="18" width="17.5546875" style="2" customWidth="1"/>
    <col min="19" max="19" width="3.109375" style="3" customWidth="1"/>
    <col min="20" max="16384" width="5.5546875" style="3" hidden="1"/>
  </cols>
  <sheetData>
    <row r="1" spans="1:27" s="5" customFormat="1" ht="27" customHeight="1" x14ac:dyDescent="0.3">
      <c r="A1" s="1" t="s">
        <v>141</v>
      </c>
      <c r="C1" s="1" t="s">
        <v>4</v>
      </c>
      <c r="D1" s="1" t="s">
        <v>2</v>
      </c>
      <c r="E1" s="27" t="s">
        <v>225</v>
      </c>
      <c r="F1" s="27" t="s">
        <v>226</v>
      </c>
      <c r="H1" s="6" t="s">
        <v>4</v>
      </c>
      <c r="I1" s="1" t="s">
        <v>2</v>
      </c>
      <c r="J1" s="1" t="s">
        <v>5</v>
      </c>
      <c r="K1" s="1" t="s">
        <v>21</v>
      </c>
      <c r="M1" s="1" t="s">
        <v>3</v>
      </c>
      <c r="N1" s="1" t="s">
        <v>227</v>
      </c>
      <c r="O1" s="1" t="s">
        <v>6</v>
      </c>
      <c r="Q1" s="1" t="s">
        <v>230</v>
      </c>
      <c r="R1" s="1" t="s">
        <v>0</v>
      </c>
    </row>
    <row r="2" spans="1:27" ht="24" customHeight="1" x14ac:dyDescent="0.3">
      <c r="A2" s="9" t="s">
        <v>142</v>
      </c>
      <c r="B2" s="10"/>
      <c r="C2" s="9" t="s">
        <v>139</v>
      </c>
      <c r="D2" s="7" t="s">
        <v>18</v>
      </c>
      <c r="E2" s="17">
        <v>130201</v>
      </c>
      <c r="F2" s="17">
        <v>130201</v>
      </c>
      <c r="G2" s="3"/>
      <c r="H2" s="7" t="s">
        <v>17</v>
      </c>
      <c r="I2" s="7" t="s">
        <v>18</v>
      </c>
      <c r="J2" s="7" t="s">
        <v>22</v>
      </c>
      <c r="K2" s="7" t="s">
        <v>50</v>
      </c>
      <c r="L2" s="3"/>
      <c r="M2" s="4" t="s">
        <v>38</v>
      </c>
      <c r="N2" s="4" t="s">
        <v>228</v>
      </c>
      <c r="O2" s="7" t="s">
        <v>41</v>
      </c>
      <c r="Q2" s="4">
        <v>1</v>
      </c>
      <c r="R2" s="30">
        <v>45658</v>
      </c>
    </row>
    <row r="3" spans="1:27" ht="24" customHeight="1" x14ac:dyDescent="0.3">
      <c r="A3" s="9" t="s">
        <v>139</v>
      </c>
      <c r="B3" s="10"/>
      <c r="C3" s="9" t="s">
        <v>139</v>
      </c>
      <c r="D3" s="7" t="s">
        <v>48</v>
      </c>
      <c r="E3" s="17">
        <v>130501</v>
      </c>
      <c r="F3" s="17">
        <v>130501</v>
      </c>
      <c r="G3" s="3"/>
      <c r="H3" s="7" t="s">
        <v>17</v>
      </c>
      <c r="I3" s="7" t="s">
        <v>18</v>
      </c>
      <c r="J3" s="7" t="s">
        <v>140</v>
      </c>
      <c r="K3" s="7" t="s">
        <v>51</v>
      </c>
      <c r="L3" s="3"/>
      <c r="M3" s="4" t="s">
        <v>39</v>
      </c>
      <c r="N3" s="4" t="s">
        <v>229</v>
      </c>
      <c r="O3" s="7" t="s">
        <v>42</v>
      </c>
      <c r="Q3" s="4">
        <v>1</v>
      </c>
      <c r="R3" s="30">
        <v>45659</v>
      </c>
    </row>
    <row r="4" spans="1:27" ht="24" customHeight="1" x14ac:dyDescent="0.3">
      <c r="A4" s="9" t="s">
        <v>143</v>
      </c>
      <c r="B4" s="10"/>
      <c r="C4" s="9" t="s">
        <v>139</v>
      </c>
      <c r="D4" s="7" t="s">
        <v>31</v>
      </c>
      <c r="E4" s="17">
        <v>130101</v>
      </c>
      <c r="F4" s="17">
        <v>130101</v>
      </c>
      <c r="G4" s="3"/>
      <c r="H4" s="7" t="s">
        <v>17</v>
      </c>
      <c r="I4" s="7" t="s">
        <v>18</v>
      </c>
      <c r="J4" s="7" t="s">
        <v>144</v>
      </c>
      <c r="K4" s="7" t="s">
        <v>52</v>
      </c>
      <c r="L4" s="3"/>
      <c r="M4" s="4" t="s">
        <v>40</v>
      </c>
      <c r="N4" s="4" t="s">
        <v>232</v>
      </c>
      <c r="O4" s="7" t="s">
        <v>43</v>
      </c>
      <c r="Q4" s="4">
        <v>1</v>
      </c>
      <c r="R4" s="30">
        <v>45660</v>
      </c>
    </row>
    <row r="5" spans="1:27" ht="24" customHeight="1" x14ac:dyDescent="0.3">
      <c r="A5" s="9" t="s">
        <v>145</v>
      </c>
      <c r="B5" s="10"/>
      <c r="C5" s="9" t="s">
        <v>139</v>
      </c>
      <c r="D5" s="7" t="s">
        <v>146</v>
      </c>
      <c r="E5" s="17">
        <v>130302</v>
      </c>
      <c r="F5" s="17">
        <v>130302</v>
      </c>
      <c r="G5" s="3"/>
      <c r="H5" s="7" t="s">
        <v>17</v>
      </c>
      <c r="I5" s="7" t="s">
        <v>18</v>
      </c>
      <c r="J5" s="7" t="s">
        <v>144</v>
      </c>
      <c r="K5" s="7" t="s">
        <v>53</v>
      </c>
      <c r="L5" s="3"/>
      <c r="N5" s="4" t="s">
        <v>233</v>
      </c>
      <c r="O5" s="7" t="s">
        <v>44</v>
      </c>
      <c r="Q5" s="4">
        <v>1</v>
      </c>
      <c r="R5" s="30">
        <v>45661</v>
      </c>
    </row>
    <row r="6" spans="1:27" ht="24" customHeight="1" x14ac:dyDescent="0.3">
      <c r="A6" s="9" t="s">
        <v>147</v>
      </c>
      <c r="B6" s="10"/>
      <c r="C6" s="9" t="s">
        <v>139</v>
      </c>
      <c r="D6" s="7" t="s">
        <v>26</v>
      </c>
      <c r="E6" s="17">
        <v>130404</v>
      </c>
      <c r="F6" s="17">
        <v>130404</v>
      </c>
      <c r="G6" s="3"/>
      <c r="H6" s="7" t="s">
        <v>15</v>
      </c>
      <c r="I6" s="7" t="s">
        <v>19</v>
      </c>
      <c r="J6" s="7" t="s">
        <v>148</v>
      </c>
      <c r="K6" s="7" t="s">
        <v>54</v>
      </c>
      <c r="L6" s="3"/>
      <c r="N6" s="4" t="s">
        <v>234</v>
      </c>
      <c r="O6" s="7" t="s">
        <v>45</v>
      </c>
      <c r="Q6" s="4">
        <v>1</v>
      </c>
      <c r="R6" s="30">
        <v>45662</v>
      </c>
    </row>
    <row r="7" spans="1:27" ht="24" customHeight="1" x14ac:dyDescent="0.3">
      <c r="B7" s="10"/>
      <c r="C7" s="9" t="s">
        <v>139</v>
      </c>
      <c r="D7" s="7" t="s">
        <v>149</v>
      </c>
      <c r="E7" s="4">
        <v>130001</v>
      </c>
      <c r="F7" s="4">
        <v>130001</v>
      </c>
      <c r="G7" s="3"/>
      <c r="H7" s="7" t="s">
        <v>15</v>
      </c>
      <c r="I7" s="7" t="s">
        <v>19</v>
      </c>
      <c r="J7" s="7" t="s">
        <v>150</v>
      </c>
      <c r="K7" s="7" t="s">
        <v>55</v>
      </c>
      <c r="L7" s="3"/>
      <c r="O7" s="7" t="s">
        <v>46</v>
      </c>
      <c r="Q7" s="4">
        <v>1</v>
      </c>
      <c r="R7" s="30">
        <v>45663</v>
      </c>
    </row>
    <row r="8" spans="1:27" ht="24" customHeight="1" x14ac:dyDescent="0.3">
      <c r="A8" s="11"/>
      <c r="B8" s="10"/>
      <c r="C8" s="9" t="s">
        <v>142</v>
      </c>
      <c r="D8" s="7" t="s">
        <v>24</v>
      </c>
      <c r="E8" s="17">
        <v>120326</v>
      </c>
      <c r="F8" s="17">
        <v>120326</v>
      </c>
      <c r="G8" s="3"/>
      <c r="H8" s="7" t="s">
        <v>15</v>
      </c>
      <c r="I8" s="7" t="s">
        <v>19</v>
      </c>
      <c r="J8" s="7" t="s">
        <v>151</v>
      </c>
      <c r="K8" s="7" t="s">
        <v>56</v>
      </c>
      <c r="L8" s="3"/>
      <c r="O8" s="7" t="s">
        <v>47</v>
      </c>
      <c r="Q8" s="4">
        <v>1</v>
      </c>
      <c r="R8" s="30">
        <v>45664</v>
      </c>
    </row>
    <row r="9" spans="1:27" ht="24" customHeight="1" x14ac:dyDescent="0.3">
      <c r="A9" s="10"/>
      <c r="B9" s="10"/>
      <c r="C9" s="9" t="s">
        <v>142</v>
      </c>
      <c r="D9" s="7" t="s">
        <v>23</v>
      </c>
      <c r="E9" s="17">
        <v>120108</v>
      </c>
      <c r="F9" s="17">
        <v>120108</v>
      </c>
      <c r="G9" s="3"/>
      <c r="H9" s="7" t="s">
        <v>17</v>
      </c>
      <c r="I9" s="7" t="s">
        <v>48</v>
      </c>
      <c r="J9" s="7" t="s">
        <v>152</v>
      </c>
      <c r="K9" s="7" t="s">
        <v>57</v>
      </c>
      <c r="L9" s="3"/>
      <c r="O9" s="2"/>
      <c r="Q9" s="4">
        <v>1</v>
      </c>
      <c r="R9" s="30">
        <v>45665</v>
      </c>
    </row>
    <row r="10" spans="1:27" ht="24" customHeight="1" x14ac:dyDescent="0.3">
      <c r="A10" s="15"/>
      <c r="B10" s="10"/>
      <c r="C10" s="9" t="s">
        <v>142</v>
      </c>
      <c r="D10" s="7" t="s">
        <v>153</v>
      </c>
      <c r="E10" s="4">
        <v>120411</v>
      </c>
      <c r="F10" s="4">
        <v>120411</v>
      </c>
      <c r="G10" s="3"/>
      <c r="H10" s="7" t="s">
        <v>17</v>
      </c>
      <c r="I10" s="7" t="s">
        <v>48</v>
      </c>
      <c r="J10" s="7" t="s">
        <v>152</v>
      </c>
      <c r="K10" s="14" t="s">
        <v>36</v>
      </c>
      <c r="L10" s="3"/>
      <c r="O10" s="2"/>
      <c r="Q10" s="4">
        <v>1</v>
      </c>
      <c r="R10" s="30">
        <v>45666</v>
      </c>
    </row>
    <row r="11" spans="1:27" ht="24" customHeight="1" x14ac:dyDescent="0.3">
      <c r="A11" s="15"/>
      <c r="B11" s="10"/>
      <c r="C11" s="9" t="s">
        <v>142</v>
      </c>
      <c r="D11" s="7" t="s">
        <v>154</v>
      </c>
      <c r="E11" s="4">
        <v>120001</v>
      </c>
      <c r="F11" s="4">
        <v>120001</v>
      </c>
      <c r="G11" s="3"/>
      <c r="H11" s="7" t="s">
        <v>17</v>
      </c>
      <c r="I11" s="7" t="s">
        <v>48</v>
      </c>
      <c r="J11" s="7" t="s">
        <v>155</v>
      </c>
      <c r="K11" s="7" t="s">
        <v>132</v>
      </c>
      <c r="L11" s="3"/>
      <c r="Q11" s="4">
        <v>1</v>
      </c>
      <c r="R11" s="30">
        <v>45667</v>
      </c>
    </row>
    <row r="12" spans="1:27" ht="24" customHeight="1" x14ac:dyDescent="0.3">
      <c r="A12" s="11"/>
      <c r="B12" s="10"/>
      <c r="C12" s="9" t="s">
        <v>145</v>
      </c>
      <c r="D12" s="7" t="s">
        <v>27</v>
      </c>
      <c r="E12" s="17">
        <v>150201</v>
      </c>
      <c r="F12" s="17">
        <v>150201</v>
      </c>
      <c r="G12" s="3"/>
      <c r="H12" s="7" t="s">
        <v>17</v>
      </c>
      <c r="I12" s="7" t="s">
        <v>20</v>
      </c>
      <c r="J12" s="7" t="s">
        <v>156</v>
      </c>
      <c r="K12" s="7" t="s">
        <v>58</v>
      </c>
      <c r="L12" s="3"/>
      <c r="Q12" s="4">
        <v>1</v>
      </c>
      <c r="R12" s="30">
        <v>45668</v>
      </c>
    </row>
    <row r="13" spans="1:27" ht="24" customHeight="1" x14ac:dyDescent="0.3">
      <c r="A13" s="11"/>
      <c r="B13" s="10"/>
      <c r="C13" s="9" t="s">
        <v>145</v>
      </c>
      <c r="D13" s="7" t="s">
        <v>29</v>
      </c>
      <c r="E13" s="17">
        <v>160201</v>
      </c>
      <c r="F13" s="17">
        <v>160201</v>
      </c>
      <c r="G13" s="3"/>
      <c r="H13" s="7" t="s">
        <v>17</v>
      </c>
      <c r="I13" s="7" t="s">
        <v>146</v>
      </c>
      <c r="J13" s="7" t="s">
        <v>157</v>
      </c>
      <c r="K13" s="7" t="s">
        <v>59</v>
      </c>
      <c r="L13" s="3"/>
      <c r="O13" s="2"/>
      <c r="Q13" s="4">
        <v>1</v>
      </c>
      <c r="R13" s="30">
        <v>45669</v>
      </c>
    </row>
    <row r="14" spans="1:27" ht="24" customHeight="1" x14ac:dyDescent="0.3">
      <c r="B14" s="10"/>
      <c r="C14" s="9" t="s">
        <v>145</v>
      </c>
      <c r="D14" s="7" t="s">
        <v>158</v>
      </c>
      <c r="E14" s="4">
        <v>150101</v>
      </c>
      <c r="F14" s="4">
        <v>150101</v>
      </c>
      <c r="H14" s="7" t="s">
        <v>17</v>
      </c>
      <c r="I14" s="7" t="s">
        <v>146</v>
      </c>
      <c r="J14" s="7" t="s">
        <v>159</v>
      </c>
      <c r="K14" s="7" t="s">
        <v>60</v>
      </c>
      <c r="Q14" s="4">
        <v>1</v>
      </c>
      <c r="R14" s="30">
        <v>45670</v>
      </c>
    </row>
    <row r="15" spans="1:27" ht="24" customHeight="1" x14ac:dyDescent="0.3">
      <c r="B15" s="10"/>
      <c r="C15" s="9" t="s">
        <v>145</v>
      </c>
      <c r="D15" s="7" t="s">
        <v>160</v>
      </c>
      <c r="E15" s="17">
        <v>160101</v>
      </c>
      <c r="F15" s="17">
        <v>160101</v>
      </c>
      <c r="H15" s="7" t="s">
        <v>15</v>
      </c>
      <c r="I15" s="7" t="s">
        <v>16</v>
      </c>
      <c r="J15" s="7" t="s">
        <v>161</v>
      </c>
      <c r="K15" s="7" t="s">
        <v>221</v>
      </c>
      <c r="Q15" s="4">
        <v>1</v>
      </c>
      <c r="R15" s="30">
        <v>45671</v>
      </c>
    </row>
    <row r="16" spans="1:27" s="2" customFormat="1" ht="24" customHeight="1" x14ac:dyDescent="0.3">
      <c r="A16" s="8"/>
      <c r="B16" s="8"/>
      <c r="C16" s="9" t="s">
        <v>145</v>
      </c>
      <c r="D16" s="7" t="s">
        <v>30</v>
      </c>
      <c r="E16" s="4">
        <v>160301</v>
      </c>
      <c r="F16" s="4">
        <v>160301</v>
      </c>
      <c r="H16" s="7" t="s">
        <v>15</v>
      </c>
      <c r="I16" s="7" t="s">
        <v>16</v>
      </c>
      <c r="J16" s="7" t="s">
        <v>163</v>
      </c>
      <c r="K16" s="7" t="s">
        <v>61</v>
      </c>
      <c r="Q16" s="4">
        <v>1</v>
      </c>
      <c r="R16" s="30">
        <v>45672</v>
      </c>
      <c r="T16" s="3"/>
      <c r="U16" s="3"/>
      <c r="V16" s="3"/>
      <c r="W16" s="3"/>
      <c r="X16" s="3"/>
      <c r="Y16" s="3"/>
      <c r="Z16" s="3"/>
      <c r="AA16" s="3"/>
    </row>
    <row r="17" spans="1:27" s="2" customFormat="1" ht="24" customHeight="1" x14ac:dyDescent="0.3">
      <c r="A17" s="8"/>
      <c r="B17" s="8"/>
      <c r="C17" s="9" t="s">
        <v>145</v>
      </c>
      <c r="D17" s="7" t="s">
        <v>28</v>
      </c>
      <c r="E17" s="17">
        <v>140301</v>
      </c>
      <c r="F17" s="17">
        <v>140301</v>
      </c>
      <c r="H17" s="7" t="s">
        <v>15</v>
      </c>
      <c r="I17" s="7" t="s">
        <v>16</v>
      </c>
      <c r="J17" s="7" t="s">
        <v>164</v>
      </c>
      <c r="K17" s="7" t="s">
        <v>62</v>
      </c>
      <c r="Q17" s="4">
        <v>1</v>
      </c>
      <c r="R17" s="30">
        <v>45673</v>
      </c>
      <c r="T17" s="3"/>
      <c r="U17" s="3"/>
      <c r="V17" s="3"/>
      <c r="W17" s="3"/>
      <c r="X17" s="3"/>
      <c r="Y17" s="3"/>
      <c r="Z17" s="3"/>
      <c r="AA17" s="3"/>
    </row>
    <row r="18" spans="1:27" s="2" customFormat="1" ht="24" customHeight="1" x14ac:dyDescent="0.3">
      <c r="A18" s="8"/>
      <c r="B18" s="8"/>
      <c r="C18" s="9" t="s">
        <v>145</v>
      </c>
      <c r="D18" s="7" t="s">
        <v>165</v>
      </c>
      <c r="E18" s="4">
        <v>160001</v>
      </c>
      <c r="F18" s="4">
        <v>160001</v>
      </c>
      <c r="H18" s="7" t="s">
        <v>15</v>
      </c>
      <c r="I18" s="7" t="s">
        <v>16</v>
      </c>
      <c r="J18" s="7" t="s">
        <v>166</v>
      </c>
      <c r="K18" s="7" t="s">
        <v>63</v>
      </c>
      <c r="O18" s="3"/>
      <c r="P18" s="3"/>
      <c r="Q18" s="4">
        <v>1</v>
      </c>
      <c r="R18" s="30">
        <v>45674</v>
      </c>
      <c r="T18" s="3"/>
      <c r="U18" s="3"/>
      <c r="V18" s="3"/>
      <c r="W18" s="3"/>
      <c r="X18" s="3"/>
      <c r="Y18" s="3"/>
      <c r="Z18" s="3"/>
      <c r="AA18" s="3"/>
    </row>
    <row r="19" spans="1:27" s="2" customFormat="1" ht="24" customHeight="1" x14ac:dyDescent="0.3">
      <c r="A19" s="8"/>
      <c r="B19" s="8"/>
      <c r="C19" s="9" t="s">
        <v>143</v>
      </c>
      <c r="D19" s="7" t="s">
        <v>167</v>
      </c>
      <c r="E19" s="4">
        <v>140209</v>
      </c>
      <c r="F19" s="4">
        <v>140209</v>
      </c>
      <c r="H19" s="7" t="s">
        <v>15</v>
      </c>
      <c r="I19" s="7" t="s">
        <v>16</v>
      </c>
      <c r="J19" s="7" t="s">
        <v>168</v>
      </c>
      <c r="K19" s="7" t="s">
        <v>64</v>
      </c>
      <c r="O19" s="3"/>
      <c r="P19" s="3"/>
      <c r="Q19" s="4">
        <v>1</v>
      </c>
      <c r="R19" s="30">
        <v>45675</v>
      </c>
      <c r="T19" s="3"/>
      <c r="U19" s="3"/>
      <c r="V19" s="3"/>
      <c r="W19" s="3"/>
      <c r="X19" s="3"/>
      <c r="Y19" s="3"/>
      <c r="Z19" s="3"/>
      <c r="AA19" s="3"/>
    </row>
    <row r="20" spans="1:27" s="2" customFormat="1" ht="24" customHeight="1" x14ac:dyDescent="0.3">
      <c r="A20" s="8"/>
      <c r="B20" s="8"/>
      <c r="C20" s="9" t="s">
        <v>143</v>
      </c>
      <c r="D20" s="7" t="s">
        <v>32</v>
      </c>
      <c r="E20" s="17">
        <v>140210</v>
      </c>
      <c r="F20" s="17">
        <v>140210</v>
      </c>
      <c r="H20" s="7" t="s">
        <v>14</v>
      </c>
      <c r="I20" s="7" t="s">
        <v>169</v>
      </c>
      <c r="J20" s="7" t="s">
        <v>170</v>
      </c>
      <c r="K20" s="7" t="s">
        <v>65</v>
      </c>
      <c r="O20" s="3"/>
      <c r="P20" s="3"/>
      <c r="Q20" s="4">
        <v>1</v>
      </c>
      <c r="R20" s="30">
        <v>45676</v>
      </c>
      <c r="T20" s="3"/>
      <c r="U20" s="3"/>
      <c r="V20" s="3"/>
      <c r="W20" s="3"/>
      <c r="X20" s="3"/>
      <c r="Y20" s="3"/>
      <c r="Z20" s="3"/>
      <c r="AA20" s="3"/>
    </row>
    <row r="21" spans="1:27" s="2" customFormat="1" ht="24" customHeight="1" x14ac:dyDescent="0.3">
      <c r="A21" s="8"/>
      <c r="B21" s="8"/>
      <c r="C21" s="9" t="s">
        <v>143</v>
      </c>
      <c r="D21" s="7" t="s">
        <v>25</v>
      </c>
      <c r="E21" s="4">
        <v>140107</v>
      </c>
      <c r="F21" s="4">
        <v>140107</v>
      </c>
      <c r="H21" s="7" t="s">
        <v>17</v>
      </c>
      <c r="I21" s="7" t="s">
        <v>149</v>
      </c>
      <c r="J21" s="7" t="s">
        <v>171</v>
      </c>
      <c r="K21" s="7" t="s">
        <v>66</v>
      </c>
      <c r="O21" s="3"/>
      <c r="P21" s="3"/>
      <c r="Q21" s="4">
        <v>1</v>
      </c>
      <c r="R21" s="30">
        <v>45677</v>
      </c>
      <c r="T21" s="3"/>
      <c r="U21" s="3"/>
      <c r="V21" s="3"/>
      <c r="W21" s="3"/>
      <c r="X21" s="3"/>
      <c r="Y21" s="3"/>
      <c r="Z21" s="3"/>
      <c r="AA21" s="3"/>
    </row>
    <row r="22" spans="1:27" s="2" customFormat="1" ht="24" customHeight="1" x14ac:dyDescent="0.3">
      <c r="A22" s="16"/>
      <c r="B22" s="8"/>
      <c r="C22" s="9" t="s">
        <v>143</v>
      </c>
      <c r="D22" s="7" t="s">
        <v>172</v>
      </c>
      <c r="E22" s="4">
        <v>140001</v>
      </c>
      <c r="F22" s="4">
        <v>140001</v>
      </c>
      <c r="H22" s="7" t="s">
        <v>15</v>
      </c>
      <c r="I22" s="7" t="s">
        <v>165</v>
      </c>
      <c r="J22" s="7" t="s">
        <v>217</v>
      </c>
      <c r="K22" s="7" t="s">
        <v>67</v>
      </c>
      <c r="O22" s="3"/>
      <c r="P22" s="3"/>
      <c r="Q22" s="4">
        <v>1</v>
      </c>
      <c r="R22" s="30">
        <v>45678</v>
      </c>
      <c r="T22" s="3"/>
      <c r="U22" s="3"/>
      <c r="V22" s="3"/>
      <c r="W22" s="3"/>
      <c r="X22" s="3"/>
      <c r="Y22" s="3"/>
      <c r="Z22" s="3"/>
      <c r="AA22" s="3"/>
    </row>
    <row r="23" spans="1:27" s="2" customFormat="1" ht="24" customHeight="1" x14ac:dyDescent="0.3">
      <c r="A23" s="16"/>
      <c r="B23" s="8"/>
      <c r="C23" s="9" t="s">
        <v>14</v>
      </c>
      <c r="D23" s="7" t="s">
        <v>169</v>
      </c>
      <c r="E23" s="17">
        <v>110004</v>
      </c>
      <c r="F23" s="17">
        <v>110004</v>
      </c>
      <c r="H23" s="7" t="s">
        <v>9</v>
      </c>
      <c r="I23" s="7" t="s">
        <v>172</v>
      </c>
      <c r="J23" s="7" t="s">
        <v>173</v>
      </c>
      <c r="K23" s="7" t="s">
        <v>68</v>
      </c>
      <c r="O23" s="3"/>
      <c r="P23" s="3"/>
      <c r="Q23" s="4">
        <v>1</v>
      </c>
      <c r="R23" s="30">
        <v>45679</v>
      </c>
      <c r="T23" s="3"/>
      <c r="U23" s="3"/>
      <c r="V23" s="3"/>
      <c r="W23" s="3"/>
      <c r="X23" s="3"/>
      <c r="Y23" s="3"/>
      <c r="Z23" s="3"/>
      <c r="AA23" s="3"/>
    </row>
    <row r="24" spans="1:27" s="2" customFormat="1" ht="24" customHeight="1" x14ac:dyDescent="0.3">
      <c r="A24" s="16"/>
      <c r="B24" s="8"/>
      <c r="C24" s="9" t="s">
        <v>14</v>
      </c>
      <c r="D24" s="7" t="s">
        <v>14</v>
      </c>
      <c r="E24" s="4">
        <v>110002</v>
      </c>
      <c r="F24" s="4">
        <v>110002</v>
      </c>
      <c r="H24" s="7" t="s">
        <v>11</v>
      </c>
      <c r="I24" s="7" t="s">
        <v>154</v>
      </c>
      <c r="J24" s="7" t="s">
        <v>174</v>
      </c>
      <c r="K24" s="7" t="s">
        <v>69</v>
      </c>
      <c r="O24" s="3"/>
      <c r="P24" s="3"/>
      <c r="Q24" s="4">
        <v>1</v>
      </c>
      <c r="R24" s="30">
        <v>45680</v>
      </c>
      <c r="T24" s="3"/>
      <c r="U24" s="3"/>
      <c r="V24" s="3"/>
      <c r="W24" s="3"/>
      <c r="X24" s="3"/>
      <c r="Y24" s="3"/>
      <c r="Z24" s="3"/>
      <c r="AA24" s="3"/>
    </row>
    <row r="25" spans="1:27" s="2" customFormat="1" ht="24" customHeight="1" x14ac:dyDescent="0.3">
      <c r="A25" s="16"/>
      <c r="B25" s="8"/>
      <c r="C25" s="8"/>
      <c r="D25" s="8"/>
      <c r="E25" s="8"/>
      <c r="H25" s="7" t="s">
        <v>9</v>
      </c>
      <c r="I25" s="7" t="s">
        <v>167</v>
      </c>
      <c r="J25" s="7" t="s">
        <v>175</v>
      </c>
      <c r="K25" s="7" t="s">
        <v>162</v>
      </c>
      <c r="Q25" s="4">
        <v>1</v>
      </c>
      <c r="R25" s="30">
        <v>45681</v>
      </c>
      <c r="T25" s="3"/>
      <c r="U25" s="3"/>
      <c r="V25" s="3"/>
      <c r="W25" s="3"/>
      <c r="X25" s="3"/>
      <c r="Y25" s="3"/>
      <c r="Z25" s="3"/>
      <c r="AA25" s="3"/>
    </row>
    <row r="26" spans="1:27" s="2" customFormat="1" ht="24" customHeight="1" x14ac:dyDescent="0.3">
      <c r="A26" s="16"/>
      <c r="B26" s="8"/>
      <c r="C26" s="8"/>
      <c r="D26" s="8"/>
      <c r="E26" s="8"/>
      <c r="H26" s="7" t="s">
        <v>9</v>
      </c>
      <c r="I26" s="7" t="s">
        <v>167</v>
      </c>
      <c r="J26" s="7" t="s">
        <v>176</v>
      </c>
      <c r="K26" s="7" t="s">
        <v>70</v>
      </c>
      <c r="O26" s="3"/>
      <c r="P26" s="3"/>
      <c r="Q26" s="4">
        <v>1</v>
      </c>
      <c r="R26" s="30">
        <v>45682</v>
      </c>
      <c r="T26" s="3"/>
      <c r="U26" s="3"/>
      <c r="V26" s="3"/>
      <c r="W26" s="3"/>
      <c r="X26" s="3"/>
      <c r="Y26" s="3"/>
      <c r="Z26" s="3"/>
      <c r="AA26" s="3"/>
    </row>
    <row r="27" spans="1:27" s="2" customFormat="1" ht="24" customHeight="1" x14ac:dyDescent="0.3">
      <c r="A27" s="16"/>
      <c r="B27" s="8"/>
      <c r="C27" s="8"/>
      <c r="D27" s="8"/>
      <c r="E27" s="8"/>
      <c r="H27" s="7" t="s">
        <v>15</v>
      </c>
      <c r="I27" s="7" t="s">
        <v>158</v>
      </c>
      <c r="J27" s="7" t="s">
        <v>177</v>
      </c>
      <c r="K27" s="7" t="s">
        <v>133</v>
      </c>
      <c r="Q27" s="4">
        <v>1</v>
      </c>
      <c r="R27" s="30">
        <v>45683</v>
      </c>
      <c r="T27" s="3"/>
      <c r="U27" s="3"/>
      <c r="V27" s="3"/>
      <c r="W27" s="3"/>
      <c r="X27" s="3"/>
      <c r="Y27" s="3"/>
      <c r="Z27" s="3"/>
      <c r="AA27" s="3"/>
    </row>
    <row r="28" spans="1:27" s="2" customFormat="1" ht="24" customHeight="1" x14ac:dyDescent="0.3">
      <c r="A28" s="16"/>
      <c r="B28" s="8"/>
      <c r="C28" s="8"/>
      <c r="D28" s="8"/>
      <c r="E28" s="8"/>
      <c r="H28" s="7" t="s">
        <v>15</v>
      </c>
      <c r="I28" s="7" t="s">
        <v>158</v>
      </c>
      <c r="J28" s="7" t="s">
        <v>178</v>
      </c>
      <c r="K28" s="7" t="s">
        <v>71</v>
      </c>
      <c r="O28" s="3"/>
      <c r="P28" s="3"/>
      <c r="Q28" s="4">
        <v>1</v>
      </c>
      <c r="R28" s="30">
        <v>45684</v>
      </c>
      <c r="T28" s="3"/>
      <c r="U28" s="3"/>
      <c r="V28" s="3"/>
      <c r="W28" s="3"/>
      <c r="X28" s="3"/>
      <c r="Y28" s="3"/>
      <c r="Z28" s="3"/>
      <c r="AA28" s="3"/>
    </row>
    <row r="29" spans="1:27" s="2" customFormat="1" ht="24" customHeight="1" x14ac:dyDescent="0.3">
      <c r="A29" s="16"/>
      <c r="B29" s="8"/>
      <c r="C29" s="8"/>
      <c r="D29" s="8"/>
      <c r="E29" s="8"/>
      <c r="H29" s="7" t="s">
        <v>15</v>
      </c>
      <c r="I29" s="7" t="s">
        <v>158</v>
      </c>
      <c r="J29" s="7" t="s">
        <v>179</v>
      </c>
      <c r="K29" s="7" t="s">
        <v>134</v>
      </c>
      <c r="O29" s="3"/>
      <c r="P29" s="3"/>
      <c r="Q29" s="4">
        <v>1</v>
      </c>
      <c r="R29" s="30">
        <v>45685</v>
      </c>
      <c r="T29" s="3"/>
      <c r="U29" s="3"/>
      <c r="V29" s="3"/>
      <c r="W29" s="3"/>
      <c r="X29" s="3"/>
      <c r="Y29" s="3"/>
      <c r="Z29" s="3"/>
      <c r="AA29" s="3"/>
    </row>
    <row r="30" spans="1:27" s="2" customFormat="1" ht="24" customHeight="1" x14ac:dyDescent="0.3">
      <c r="A30" s="16"/>
      <c r="B30" s="8"/>
      <c r="C30" s="8"/>
      <c r="D30" s="8"/>
      <c r="E30" s="8"/>
      <c r="H30" s="7" t="s">
        <v>9</v>
      </c>
      <c r="I30" s="7" t="s">
        <v>37</v>
      </c>
      <c r="J30" s="7" t="s">
        <v>180</v>
      </c>
      <c r="K30" s="7" t="s">
        <v>72</v>
      </c>
      <c r="Q30" s="4">
        <v>1</v>
      </c>
      <c r="R30" s="30">
        <v>45686</v>
      </c>
      <c r="T30" s="3"/>
      <c r="U30" s="3"/>
      <c r="V30" s="3"/>
      <c r="W30" s="3"/>
      <c r="X30" s="3"/>
      <c r="Y30" s="3"/>
      <c r="Z30" s="3"/>
      <c r="AA30" s="3"/>
    </row>
    <row r="31" spans="1:27" s="2" customFormat="1" ht="24" customHeight="1" x14ac:dyDescent="0.3">
      <c r="A31" s="16"/>
      <c r="B31" s="8"/>
      <c r="C31" s="8"/>
      <c r="D31" s="8"/>
      <c r="E31" s="8"/>
      <c r="H31" s="7" t="s">
        <v>9</v>
      </c>
      <c r="I31" s="7" t="s">
        <v>37</v>
      </c>
      <c r="J31" s="7" t="s">
        <v>181</v>
      </c>
      <c r="K31" s="7" t="s">
        <v>138</v>
      </c>
      <c r="Q31" s="4">
        <v>1</v>
      </c>
      <c r="R31" s="30">
        <v>45687</v>
      </c>
      <c r="T31" s="3"/>
      <c r="U31" s="3"/>
      <c r="V31" s="3"/>
      <c r="W31" s="3"/>
      <c r="X31" s="3"/>
      <c r="Y31" s="3"/>
      <c r="Z31" s="3"/>
      <c r="AA31" s="3"/>
    </row>
    <row r="32" spans="1:27" s="2" customFormat="1" ht="24" customHeight="1" x14ac:dyDescent="0.3">
      <c r="A32" s="16"/>
      <c r="B32" s="8"/>
      <c r="C32" s="8"/>
      <c r="D32" s="8"/>
      <c r="E32" s="8"/>
      <c r="H32" s="7" t="s">
        <v>9</v>
      </c>
      <c r="I32" s="7" t="s">
        <v>37</v>
      </c>
      <c r="J32" s="7" t="s">
        <v>181</v>
      </c>
      <c r="K32" s="4" t="s">
        <v>162</v>
      </c>
      <c r="O32" s="3"/>
      <c r="P32" s="3"/>
      <c r="Q32" s="4">
        <v>1</v>
      </c>
      <c r="R32" s="30">
        <v>45688</v>
      </c>
      <c r="T32" s="3"/>
      <c r="U32" s="3"/>
      <c r="V32" s="3"/>
      <c r="W32" s="3"/>
      <c r="X32" s="3"/>
      <c r="Y32" s="3"/>
      <c r="Z32" s="3"/>
      <c r="AA32" s="3"/>
    </row>
    <row r="33" spans="1:27" s="2" customFormat="1" ht="24" customHeight="1" x14ac:dyDescent="0.3">
      <c r="A33" s="16"/>
      <c r="B33" s="8"/>
      <c r="C33" s="8"/>
      <c r="D33" s="8"/>
      <c r="E33" s="8"/>
      <c r="H33" s="7" t="s">
        <v>9</v>
      </c>
      <c r="I33" s="7" t="s">
        <v>37</v>
      </c>
      <c r="J33" s="7" t="s">
        <v>182</v>
      </c>
      <c r="K33" s="7" t="s">
        <v>73</v>
      </c>
      <c r="O33" s="3"/>
      <c r="P33" s="3"/>
      <c r="Q33" s="4">
        <v>1</v>
      </c>
      <c r="R33" s="30">
        <v>45689</v>
      </c>
      <c r="T33" s="3"/>
      <c r="U33" s="3"/>
      <c r="V33" s="3"/>
      <c r="W33" s="3"/>
      <c r="X33" s="3"/>
      <c r="Y33" s="3"/>
      <c r="Z33" s="3"/>
      <c r="AA33" s="3"/>
    </row>
    <row r="34" spans="1:27" s="2" customFormat="1" ht="24" customHeight="1" x14ac:dyDescent="0.3">
      <c r="A34" s="16"/>
      <c r="B34" s="8"/>
      <c r="C34" s="8"/>
      <c r="D34" s="8"/>
      <c r="E34" s="8"/>
      <c r="H34" s="7" t="s">
        <v>9</v>
      </c>
      <c r="I34" s="7" t="s">
        <v>37</v>
      </c>
      <c r="J34" s="7" t="s">
        <v>183</v>
      </c>
      <c r="K34" s="7" t="s">
        <v>74</v>
      </c>
      <c r="O34" s="3"/>
      <c r="P34" s="3"/>
      <c r="Q34" s="4">
        <v>1</v>
      </c>
      <c r="R34" s="30">
        <v>45690</v>
      </c>
      <c r="T34" s="3"/>
      <c r="U34" s="3"/>
      <c r="V34" s="3"/>
      <c r="W34" s="3"/>
      <c r="X34" s="3"/>
      <c r="Y34" s="3"/>
      <c r="Z34" s="3"/>
      <c r="AA34" s="3"/>
    </row>
    <row r="35" spans="1:27" s="2" customFormat="1" ht="24" customHeight="1" x14ac:dyDescent="0.3">
      <c r="A35" s="16"/>
      <c r="B35" s="8"/>
      <c r="C35" s="8"/>
      <c r="D35" s="8"/>
      <c r="E35" s="8"/>
      <c r="H35" s="7" t="s">
        <v>9</v>
      </c>
      <c r="I35" s="7" t="s">
        <v>37</v>
      </c>
      <c r="J35" s="7" t="s">
        <v>184</v>
      </c>
      <c r="K35" s="7" t="s">
        <v>75</v>
      </c>
      <c r="O35" s="3"/>
      <c r="P35" s="3"/>
      <c r="Q35" s="4">
        <v>1</v>
      </c>
      <c r="R35" s="30">
        <v>45691</v>
      </c>
      <c r="T35" s="3"/>
      <c r="U35" s="3"/>
      <c r="V35" s="3"/>
      <c r="W35" s="3"/>
      <c r="X35" s="3"/>
      <c r="Y35" s="3"/>
      <c r="Z35" s="3"/>
      <c r="AA35" s="3"/>
    </row>
    <row r="36" spans="1:27" s="2" customFormat="1" ht="24" customHeight="1" x14ac:dyDescent="0.3">
      <c r="A36" s="16"/>
      <c r="B36" s="8"/>
      <c r="C36" s="8"/>
      <c r="D36" s="8"/>
      <c r="E36" s="8"/>
      <c r="H36" s="7" t="s">
        <v>9</v>
      </c>
      <c r="I36" s="7" t="s">
        <v>12</v>
      </c>
      <c r="J36" s="7" t="s">
        <v>185</v>
      </c>
      <c r="K36" s="7" t="s">
        <v>76</v>
      </c>
      <c r="Q36" s="4">
        <v>1</v>
      </c>
      <c r="R36" s="30">
        <v>45692</v>
      </c>
      <c r="T36" s="3"/>
      <c r="U36" s="3"/>
      <c r="V36" s="3"/>
      <c r="W36" s="3"/>
      <c r="X36" s="3"/>
      <c r="Y36" s="3"/>
      <c r="Z36" s="3"/>
      <c r="AA36" s="3"/>
    </row>
    <row r="37" spans="1:27" s="2" customFormat="1" ht="24" customHeight="1" x14ac:dyDescent="0.3">
      <c r="A37" s="16"/>
      <c r="B37" s="8"/>
      <c r="C37" s="8"/>
      <c r="D37" s="8"/>
      <c r="E37" s="8"/>
      <c r="H37" s="7" t="s">
        <v>9</v>
      </c>
      <c r="I37" s="7" t="s">
        <v>12</v>
      </c>
      <c r="J37" s="7" t="s">
        <v>185</v>
      </c>
      <c r="K37" s="7" t="s">
        <v>77</v>
      </c>
      <c r="Q37" s="4">
        <v>1</v>
      </c>
      <c r="R37" s="30">
        <v>45693</v>
      </c>
      <c r="T37" s="3"/>
      <c r="U37" s="3"/>
      <c r="V37" s="3"/>
      <c r="W37" s="3"/>
      <c r="X37" s="3"/>
      <c r="Y37" s="3"/>
      <c r="Z37" s="3"/>
      <c r="AA37" s="3"/>
    </row>
    <row r="38" spans="1:27" s="2" customFormat="1" ht="24" customHeight="1" x14ac:dyDescent="0.3">
      <c r="A38" s="16"/>
      <c r="B38" s="8"/>
      <c r="C38" s="8"/>
      <c r="D38" s="8"/>
      <c r="E38" s="8"/>
      <c r="H38" s="7" t="s">
        <v>9</v>
      </c>
      <c r="I38" s="7" t="s">
        <v>12</v>
      </c>
      <c r="J38" s="7" t="s">
        <v>185</v>
      </c>
      <c r="K38" s="7" t="s">
        <v>135</v>
      </c>
      <c r="O38" s="3"/>
      <c r="P38" s="3"/>
      <c r="Q38" s="4">
        <v>1</v>
      </c>
      <c r="R38" s="30">
        <v>45694</v>
      </c>
      <c r="T38" s="3"/>
      <c r="U38" s="3"/>
      <c r="V38" s="3"/>
      <c r="W38" s="3"/>
      <c r="X38" s="3"/>
      <c r="Y38" s="3"/>
      <c r="Z38" s="3"/>
      <c r="AA38" s="3"/>
    </row>
    <row r="39" spans="1:27" ht="24" customHeight="1" x14ac:dyDescent="0.3">
      <c r="A39" s="16"/>
      <c r="H39" s="7" t="s">
        <v>9</v>
      </c>
      <c r="I39" s="7" t="s">
        <v>12</v>
      </c>
      <c r="J39" s="7" t="s">
        <v>185</v>
      </c>
      <c r="K39" s="7" t="s">
        <v>78</v>
      </c>
      <c r="Q39" s="4">
        <v>1</v>
      </c>
      <c r="R39" s="30">
        <v>45695</v>
      </c>
    </row>
    <row r="40" spans="1:27" ht="24" customHeight="1" x14ac:dyDescent="0.3">
      <c r="A40" s="16"/>
      <c r="H40" s="7" t="s">
        <v>9</v>
      </c>
      <c r="I40" s="7" t="s">
        <v>12</v>
      </c>
      <c r="J40" s="7" t="s">
        <v>185</v>
      </c>
      <c r="K40" s="7" t="s">
        <v>162</v>
      </c>
      <c r="Q40" s="4">
        <v>2</v>
      </c>
      <c r="R40" s="30">
        <v>45689</v>
      </c>
    </row>
    <row r="41" spans="1:27" ht="24" customHeight="1" x14ac:dyDescent="0.3">
      <c r="A41" s="16"/>
      <c r="H41" s="7" t="s">
        <v>9</v>
      </c>
      <c r="I41" s="7" t="s">
        <v>12</v>
      </c>
      <c r="J41" s="7" t="s">
        <v>186</v>
      </c>
      <c r="K41" s="7" t="s">
        <v>79</v>
      </c>
      <c r="Q41" s="4">
        <v>2</v>
      </c>
      <c r="R41" s="30">
        <v>45690</v>
      </c>
    </row>
    <row r="42" spans="1:27" ht="24" customHeight="1" x14ac:dyDescent="0.3">
      <c r="A42" s="16"/>
      <c r="H42" s="7" t="s">
        <v>9</v>
      </c>
      <c r="I42" s="7" t="s">
        <v>12</v>
      </c>
      <c r="J42" s="7" t="s">
        <v>187</v>
      </c>
      <c r="K42" s="7" t="s">
        <v>80</v>
      </c>
      <c r="Q42" s="4">
        <v>2</v>
      </c>
      <c r="R42" s="30">
        <v>45691</v>
      </c>
    </row>
    <row r="43" spans="1:27" ht="24" customHeight="1" x14ac:dyDescent="0.3">
      <c r="A43" s="16"/>
      <c r="H43" s="7" t="s">
        <v>17</v>
      </c>
      <c r="I43" s="7" t="s">
        <v>34</v>
      </c>
      <c r="J43" s="7" t="s">
        <v>188</v>
      </c>
      <c r="K43" s="7" t="s">
        <v>136</v>
      </c>
      <c r="Q43" s="4">
        <v>2</v>
      </c>
      <c r="R43" s="30">
        <v>45692</v>
      </c>
    </row>
    <row r="44" spans="1:27" ht="24" customHeight="1" x14ac:dyDescent="0.3">
      <c r="A44" s="16"/>
      <c r="H44" s="7" t="s">
        <v>17</v>
      </c>
      <c r="I44" s="7" t="s">
        <v>34</v>
      </c>
      <c r="J44" s="7" t="s">
        <v>188</v>
      </c>
      <c r="K44" s="7" t="s">
        <v>81</v>
      </c>
      <c r="Q44" s="4">
        <v>2</v>
      </c>
      <c r="R44" s="30">
        <v>45693</v>
      </c>
    </row>
    <row r="45" spans="1:27" ht="24" customHeight="1" x14ac:dyDescent="0.3">
      <c r="A45" s="16"/>
      <c r="H45" s="7" t="s">
        <v>17</v>
      </c>
      <c r="I45" s="7" t="s">
        <v>34</v>
      </c>
      <c r="J45" s="7" t="s">
        <v>188</v>
      </c>
      <c r="K45" s="7" t="s">
        <v>82</v>
      </c>
      <c r="Q45" s="4">
        <v>2</v>
      </c>
      <c r="R45" s="30">
        <v>45694</v>
      </c>
    </row>
    <row r="46" spans="1:27" ht="24" customHeight="1" x14ac:dyDescent="0.3">
      <c r="A46" s="16"/>
      <c r="H46" s="7" t="s">
        <v>17</v>
      </c>
      <c r="I46" s="7" t="s">
        <v>34</v>
      </c>
      <c r="J46" s="7" t="s">
        <v>188</v>
      </c>
      <c r="K46" s="7" t="s">
        <v>83</v>
      </c>
      <c r="Q46" s="4">
        <v>2</v>
      </c>
      <c r="R46" s="30">
        <v>45695</v>
      </c>
    </row>
    <row r="47" spans="1:27" ht="24" customHeight="1" x14ac:dyDescent="0.3">
      <c r="A47" s="16"/>
      <c r="H47" s="7" t="s">
        <v>17</v>
      </c>
      <c r="I47" s="7" t="s">
        <v>34</v>
      </c>
      <c r="J47" s="7" t="s">
        <v>188</v>
      </c>
      <c r="K47" s="14" t="s">
        <v>219</v>
      </c>
      <c r="Q47" s="4">
        <v>2</v>
      </c>
      <c r="R47" s="30">
        <v>45696</v>
      </c>
    </row>
    <row r="48" spans="1:27" ht="24" customHeight="1" x14ac:dyDescent="0.3">
      <c r="A48" s="16"/>
      <c r="H48" s="7" t="s">
        <v>17</v>
      </c>
      <c r="I48" s="7" t="s">
        <v>34</v>
      </c>
      <c r="J48" s="7" t="s">
        <v>218</v>
      </c>
      <c r="K48" s="7" t="s">
        <v>84</v>
      </c>
      <c r="Q48" s="4">
        <v>2</v>
      </c>
      <c r="R48" s="30">
        <v>45697</v>
      </c>
    </row>
    <row r="49" spans="1:18" ht="24" customHeight="1" x14ac:dyDescent="0.3">
      <c r="A49" s="16"/>
      <c r="H49" s="7" t="s">
        <v>17</v>
      </c>
      <c r="I49" s="7" t="s">
        <v>34</v>
      </c>
      <c r="J49" s="7" t="s">
        <v>218</v>
      </c>
      <c r="K49" s="7" t="s">
        <v>85</v>
      </c>
      <c r="Q49" s="4">
        <v>2</v>
      </c>
      <c r="R49" s="30">
        <v>45698</v>
      </c>
    </row>
    <row r="50" spans="1:18" ht="24" customHeight="1" x14ac:dyDescent="0.3">
      <c r="A50" s="16"/>
      <c r="H50" s="7" t="s">
        <v>17</v>
      </c>
      <c r="I50" s="7" t="s">
        <v>34</v>
      </c>
      <c r="J50" s="7" t="s">
        <v>189</v>
      </c>
      <c r="K50" s="7" t="s">
        <v>86</v>
      </c>
      <c r="Q50" s="4">
        <v>2</v>
      </c>
      <c r="R50" s="30">
        <v>45699</v>
      </c>
    </row>
    <row r="51" spans="1:18" ht="24" customHeight="1" x14ac:dyDescent="0.3">
      <c r="A51" s="16"/>
      <c r="H51" s="7" t="s">
        <v>11</v>
      </c>
      <c r="I51" s="7" t="s">
        <v>35</v>
      </c>
      <c r="J51" s="7" t="s">
        <v>190</v>
      </c>
      <c r="K51" s="7" t="s">
        <v>220</v>
      </c>
      <c r="Q51" s="4">
        <v>2</v>
      </c>
      <c r="R51" s="30">
        <v>45700</v>
      </c>
    </row>
    <row r="52" spans="1:18" ht="24" customHeight="1" x14ac:dyDescent="0.3">
      <c r="A52" s="16"/>
      <c r="H52" s="7" t="s">
        <v>11</v>
      </c>
      <c r="I52" s="7" t="s">
        <v>35</v>
      </c>
      <c r="J52" s="7" t="s">
        <v>191</v>
      </c>
      <c r="K52" s="7" t="s">
        <v>222</v>
      </c>
      <c r="Q52" s="4">
        <v>2</v>
      </c>
      <c r="R52" s="30">
        <v>45701</v>
      </c>
    </row>
    <row r="53" spans="1:18" ht="24" customHeight="1" x14ac:dyDescent="0.3">
      <c r="A53" s="16"/>
      <c r="H53" s="7" t="s">
        <v>11</v>
      </c>
      <c r="I53" s="7" t="s">
        <v>35</v>
      </c>
      <c r="J53" s="7" t="s">
        <v>192</v>
      </c>
      <c r="K53" s="7" t="s">
        <v>87</v>
      </c>
      <c r="Q53" s="4">
        <v>2</v>
      </c>
      <c r="R53" s="30">
        <v>45702</v>
      </c>
    </row>
    <row r="54" spans="1:18" ht="24" customHeight="1" x14ac:dyDescent="0.3">
      <c r="A54" s="16"/>
      <c r="H54" s="7" t="s">
        <v>11</v>
      </c>
      <c r="I54" s="7" t="s">
        <v>35</v>
      </c>
      <c r="J54" s="7" t="s">
        <v>193</v>
      </c>
      <c r="K54" s="7" t="s">
        <v>88</v>
      </c>
      <c r="Q54" s="4">
        <v>2</v>
      </c>
      <c r="R54" s="30">
        <v>45703</v>
      </c>
    </row>
    <row r="55" spans="1:18" ht="24" customHeight="1" x14ac:dyDescent="0.3">
      <c r="A55" s="16"/>
      <c r="H55" s="7" t="s">
        <v>11</v>
      </c>
      <c r="I55" s="7" t="s">
        <v>35</v>
      </c>
      <c r="J55" s="7" t="s">
        <v>194</v>
      </c>
      <c r="K55" s="7" t="s">
        <v>89</v>
      </c>
      <c r="Q55" s="4">
        <v>2</v>
      </c>
      <c r="R55" s="30">
        <v>45704</v>
      </c>
    </row>
    <row r="56" spans="1:18" ht="24" customHeight="1" x14ac:dyDescent="0.3">
      <c r="A56" s="16"/>
      <c r="H56" s="7" t="s">
        <v>11</v>
      </c>
      <c r="I56" s="7" t="s">
        <v>35</v>
      </c>
      <c r="J56" s="7" t="s">
        <v>195</v>
      </c>
      <c r="K56" s="7" t="s">
        <v>90</v>
      </c>
      <c r="Q56" s="4">
        <v>2</v>
      </c>
      <c r="R56" s="30">
        <v>45705</v>
      </c>
    </row>
    <row r="57" spans="1:18" ht="24" customHeight="1" x14ac:dyDescent="0.3">
      <c r="A57" s="16"/>
      <c r="H57" s="7" t="s">
        <v>11</v>
      </c>
      <c r="I57" s="7" t="s">
        <v>35</v>
      </c>
      <c r="J57" s="7" t="s">
        <v>195</v>
      </c>
      <c r="K57" s="7" t="s">
        <v>91</v>
      </c>
      <c r="Q57" s="4">
        <v>2</v>
      </c>
      <c r="R57" s="30">
        <v>45706</v>
      </c>
    </row>
    <row r="58" spans="1:18" ht="24" customHeight="1" x14ac:dyDescent="0.3">
      <c r="A58" s="16"/>
      <c r="H58" s="7" t="s">
        <v>11</v>
      </c>
      <c r="I58" s="7" t="s">
        <v>35</v>
      </c>
      <c r="J58" s="7" t="s">
        <v>195</v>
      </c>
      <c r="K58" s="7" t="s">
        <v>92</v>
      </c>
      <c r="Q58" s="4">
        <v>2</v>
      </c>
      <c r="R58" s="30">
        <v>45707</v>
      </c>
    </row>
    <row r="59" spans="1:18" ht="24" customHeight="1" x14ac:dyDescent="0.3">
      <c r="A59" s="16"/>
      <c r="H59" s="7" t="s">
        <v>11</v>
      </c>
      <c r="I59" s="7" t="s">
        <v>35</v>
      </c>
      <c r="J59" s="7" t="s">
        <v>195</v>
      </c>
      <c r="K59" s="7" t="s">
        <v>93</v>
      </c>
      <c r="Q59" s="4">
        <v>2</v>
      </c>
      <c r="R59" s="30">
        <v>45708</v>
      </c>
    </row>
    <row r="60" spans="1:18" ht="24" customHeight="1" x14ac:dyDescent="0.3">
      <c r="A60" s="16"/>
      <c r="H60" s="7" t="s">
        <v>11</v>
      </c>
      <c r="I60" s="7" t="s">
        <v>35</v>
      </c>
      <c r="J60" s="7" t="s">
        <v>196</v>
      </c>
      <c r="K60" s="7" t="s">
        <v>94</v>
      </c>
      <c r="Q60" s="4">
        <v>2</v>
      </c>
      <c r="R60" s="30">
        <v>45709</v>
      </c>
    </row>
    <row r="61" spans="1:18" ht="24" customHeight="1" x14ac:dyDescent="0.3">
      <c r="A61" s="16"/>
      <c r="H61" s="7" t="s">
        <v>11</v>
      </c>
      <c r="I61" s="7" t="s">
        <v>35</v>
      </c>
      <c r="J61" s="7" t="s">
        <v>196</v>
      </c>
      <c r="K61" s="7" t="s">
        <v>95</v>
      </c>
      <c r="Q61" s="4">
        <v>2</v>
      </c>
      <c r="R61" s="30">
        <v>45710</v>
      </c>
    </row>
    <row r="62" spans="1:18" ht="24" customHeight="1" x14ac:dyDescent="0.3">
      <c r="A62" s="16"/>
      <c r="H62" s="7" t="s">
        <v>11</v>
      </c>
      <c r="I62" s="7" t="s">
        <v>35</v>
      </c>
      <c r="J62" s="7" t="s">
        <v>196</v>
      </c>
      <c r="K62" s="7" t="s">
        <v>96</v>
      </c>
      <c r="Q62" s="4">
        <v>2</v>
      </c>
      <c r="R62" s="30">
        <v>45711</v>
      </c>
    </row>
    <row r="63" spans="1:18" ht="24" customHeight="1" x14ac:dyDescent="0.3">
      <c r="A63" s="16"/>
      <c r="H63" s="7" t="s">
        <v>11</v>
      </c>
      <c r="I63" s="7" t="s">
        <v>35</v>
      </c>
      <c r="J63" s="7" t="s">
        <v>196</v>
      </c>
      <c r="K63" s="7" t="s">
        <v>97</v>
      </c>
      <c r="Q63" s="4">
        <v>2</v>
      </c>
      <c r="R63" s="30">
        <v>45712</v>
      </c>
    </row>
    <row r="64" spans="1:18" ht="24" customHeight="1" x14ac:dyDescent="0.3">
      <c r="A64" s="16"/>
      <c r="H64" s="7" t="s">
        <v>11</v>
      </c>
      <c r="I64" s="7" t="s">
        <v>35</v>
      </c>
      <c r="J64" s="7" t="s">
        <v>197</v>
      </c>
      <c r="K64" s="7" t="s">
        <v>98</v>
      </c>
      <c r="Q64" s="4">
        <v>2</v>
      </c>
      <c r="R64" s="30">
        <v>45713</v>
      </c>
    </row>
    <row r="65" spans="1:18" ht="24" customHeight="1" x14ac:dyDescent="0.3">
      <c r="A65" s="16"/>
      <c r="H65" s="7" t="s">
        <v>11</v>
      </c>
      <c r="I65" s="7" t="s">
        <v>35</v>
      </c>
      <c r="J65" s="7" t="s">
        <v>198</v>
      </c>
      <c r="K65" s="7" t="s">
        <v>99</v>
      </c>
      <c r="Q65" s="4">
        <v>2</v>
      </c>
      <c r="R65" s="30">
        <v>45714</v>
      </c>
    </row>
    <row r="66" spans="1:18" ht="24" customHeight="1" x14ac:dyDescent="0.3">
      <c r="A66" s="16"/>
      <c r="H66" s="7" t="s">
        <v>11</v>
      </c>
      <c r="I66" s="7" t="s">
        <v>35</v>
      </c>
      <c r="J66" s="7" t="s">
        <v>199</v>
      </c>
      <c r="K66" s="7" t="s">
        <v>100</v>
      </c>
      <c r="Q66" s="4">
        <v>2</v>
      </c>
      <c r="R66" s="30">
        <v>45715</v>
      </c>
    </row>
    <row r="67" spans="1:18" ht="24" customHeight="1" x14ac:dyDescent="0.3">
      <c r="A67" s="16"/>
      <c r="H67" s="7" t="s">
        <v>11</v>
      </c>
      <c r="I67" s="7" t="s">
        <v>35</v>
      </c>
      <c r="J67" s="7" t="s">
        <v>200</v>
      </c>
      <c r="K67" s="7" t="s">
        <v>101</v>
      </c>
      <c r="Q67" s="4">
        <v>2</v>
      </c>
      <c r="R67" s="30">
        <v>45716</v>
      </c>
    </row>
    <row r="68" spans="1:18" ht="24" customHeight="1" x14ac:dyDescent="0.3">
      <c r="A68" s="16"/>
      <c r="H68" s="7" t="s">
        <v>15</v>
      </c>
      <c r="I68" s="7" t="s">
        <v>160</v>
      </c>
      <c r="J68" s="7" t="s">
        <v>201</v>
      </c>
      <c r="K68" s="7" t="s">
        <v>102</v>
      </c>
      <c r="Q68" s="4">
        <v>2</v>
      </c>
      <c r="R68" s="30">
        <v>45717</v>
      </c>
    </row>
    <row r="69" spans="1:18" ht="24" customHeight="1" x14ac:dyDescent="0.3">
      <c r="A69" s="16"/>
      <c r="H69" s="7" t="s">
        <v>15</v>
      </c>
      <c r="I69" s="7" t="s">
        <v>160</v>
      </c>
      <c r="J69" s="7" t="s">
        <v>202</v>
      </c>
      <c r="K69" s="7" t="s">
        <v>103</v>
      </c>
      <c r="Q69" s="4">
        <v>2</v>
      </c>
      <c r="R69" s="30">
        <v>45718</v>
      </c>
    </row>
    <row r="70" spans="1:18" ht="24" customHeight="1" x14ac:dyDescent="0.3">
      <c r="A70" s="16"/>
      <c r="H70" s="7" t="s">
        <v>14</v>
      </c>
      <c r="I70" s="7" t="s">
        <v>14</v>
      </c>
      <c r="J70" s="7" t="s">
        <v>203</v>
      </c>
      <c r="K70" s="7" t="s">
        <v>104</v>
      </c>
      <c r="Q70" s="4">
        <v>2</v>
      </c>
      <c r="R70" s="30">
        <v>45719</v>
      </c>
    </row>
    <row r="71" spans="1:18" ht="24" customHeight="1" x14ac:dyDescent="0.3">
      <c r="A71" s="16"/>
      <c r="H71" s="7" t="s">
        <v>14</v>
      </c>
      <c r="I71" s="7" t="s">
        <v>14</v>
      </c>
      <c r="J71" s="7" t="s">
        <v>13</v>
      </c>
      <c r="K71" s="7" t="s">
        <v>105</v>
      </c>
      <c r="Q71" s="4">
        <v>2</v>
      </c>
      <c r="R71" s="30">
        <v>45720</v>
      </c>
    </row>
    <row r="72" spans="1:18" ht="24" customHeight="1" x14ac:dyDescent="0.3">
      <c r="A72" s="16"/>
      <c r="H72" s="7" t="s">
        <v>11</v>
      </c>
      <c r="I72" s="7" t="s">
        <v>33</v>
      </c>
      <c r="J72" s="7" t="s">
        <v>204</v>
      </c>
      <c r="K72" s="7" t="s">
        <v>106</v>
      </c>
      <c r="Q72" s="4">
        <v>2</v>
      </c>
      <c r="R72" s="30">
        <v>45721</v>
      </c>
    </row>
    <row r="73" spans="1:18" ht="24" customHeight="1" x14ac:dyDescent="0.3">
      <c r="A73" s="16"/>
      <c r="H73" s="13" t="s">
        <v>11</v>
      </c>
      <c r="I73" s="13" t="s">
        <v>33</v>
      </c>
      <c r="J73" s="13" t="s">
        <v>204</v>
      </c>
      <c r="K73" s="7" t="s">
        <v>107</v>
      </c>
      <c r="Q73" s="4">
        <v>2</v>
      </c>
      <c r="R73" s="30">
        <v>45722</v>
      </c>
    </row>
    <row r="74" spans="1:18" ht="24" customHeight="1" x14ac:dyDescent="0.3">
      <c r="A74" s="16"/>
      <c r="H74" s="7" t="s">
        <v>11</v>
      </c>
      <c r="I74" s="7" t="s">
        <v>33</v>
      </c>
      <c r="J74" s="7" t="s">
        <v>204</v>
      </c>
      <c r="K74" s="7" t="s">
        <v>108</v>
      </c>
      <c r="Q74" s="4">
        <v>2</v>
      </c>
      <c r="R74" s="30">
        <v>45723</v>
      </c>
    </row>
    <row r="75" spans="1:18" ht="24" customHeight="1" x14ac:dyDescent="0.3">
      <c r="A75" s="16"/>
      <c r="H75" s="7" t="s">
        <v>11</v>
      </c>
      <c r="I75" s="7" t="s">
        <v>33</v>
      </c>
      <c r="J75" s="7" t="s">
        <v>204</v>
      </c>
      <c r="K75" s="7" t="s">
        <v>109</v>
      </c>
      <c r="Q75" s="4">
        <v>3</v>
      </c>
      <c r="R75" s="30">
        <v>45717</v>
      </c>
    </row>
    <row r="76" spans="1:18" ht="24" customHeight="1" x14ac:dyDescent="0.3">
      <c r="A76" s="16"/>
      <c r="H76" s="7" t="s">
        <v>11</v>
      </c>
      <c r="I76" s="7" t="s">
        <v>33</v>
      </c>
      <c r="J76" s="7" t="s">
        <v>205</v>
      </c>
      <c r="K76" s="7" t="s">
        <v>110</v>
      </c>
      <c r="Q76" s="4">
        <v>3</v>
      </c>
      <c r="R76" s="30">
        <v>45718</v>
      </c>
    </row>
    <row r="77" spans="1:18" ht="24" customHeight="1" x14ac:dyDescent="0.3">
      <c r="A77" s="16"/>
      <c r="H77" s="7" t="s">
        <v>11</v>
      </c>
      <c r="I77" s="7" t="s">
        <v>33</v>
      </c>
      <c r="J77" s="7" t="s">
        <v>205</v>
      </c>
      <c r="K77" s="7" t="s">
        <v>111</v>
      </c>
      <c r="Q77" s="4">
        <v>3</v>
      </c>
      <c r="R77" s="30">
        <v>45719</v>
      </c>
    </row>
    <row r="78" spans="1:18" ht="24" customHeight="1" x14ac:dyDescent="0.3">
      <c r="A78" s="16"/>
      <c r="H78" s="7" t="s">
        <v>11</v>
      </c>
      <c r="I78" s="7" t="s">
        <v>33</v>
      </c>
      <c r="J78" s="7" t="s">
        <v>205</v>
      </c>
      <c r="K78" s="13" t="s">
        <v>112</v>
      </c>
      <c r="Q78" s="4">
        <v>3</v>
      </c>
      <c r="R78" s="30">
        <v>45720</v>
      </c>
    </row>
    <row r="79" spans="1:18" ht="24" customHeight="1" x14ac:dyDescent="0.3">
      <c r="A79" s="16"/>
      <c r="H79" s="7" t="s">
        <v>11</v>
      </c>
      <c r="I79" s="7" t="s">
        <v>33</v>
      </c>
      <c r="J79" s="7" t="s">
        <v>205</v>
      </c>
      <c r="K79" s="7" t="s">
        <v>113</v>
      </c>
      <c r="Q79" s="4">
        <v>3</v>
      </c>
      <c r="R79" s="30">
        <v>45721</v>
      </c>
    </row>
    <row r="80" spans="1:18" ht="24" customHeight="1" x14ac:dyDescent="0.3">
      <c r="A80" s="16"/>
      <c r="H80" s="7" t="s">
        <v>11</v>
      </c>
      <c r="I80" s="7" t="s">
        <v>33</v>
      </c>
      <c r="J80" s="7" t="s">
        <v>206</v>
      </c>
      <c r="K80" s="7" t="s">
        <v>114</v>
      </c>
      <c r="Q80" s="4">
        <v>3</v>
      </c>
      <c r="R80" s="30">
        <v>45722</v>
      </c>
    </row>
    <row r="81" spans="1:18" ht="24" customHeight="1" x14ac:dyDescent="0.3">
      <c r="A81" s="16"/>
      <c r="H81" s="7" t="s">
        <v>11</v>
      </c>
      <c r="I81" s="7" t="s">
        <v>33</v>
      </c>
      <c r="J81" s="7" t="s">
        <v>206</v>
      </c>
      <c r="K81" s="7" t="s">
        <v>115</v>
      </c>
      <c r="Q81" s="4">
        <v>3</v>
      </c>
      <c r="R81" s="30">
        <v>45723</v>
      </c>
    </row>
    <row r="82" spans="1:18" ht="24" customHeight="1" x14ac:dyDescent="0.3">
      <c r="A82" s="16"/>
      <c r="H82" s="7" t="s">
        <v>11</v>
      </c>
      <c r="I82" s="7" t="s">
        <v>33</v>
      </c>
      <c r="J82" s="7" t="s">
        <v>206</v>
      </c>
      <c r="K82" s="7" t="s">
        <v>116</v>
      </c>
      <c r="Q82" s="4">
        <v>3</v>
      </c>
      <c r="R82" s="30">
        <v>45724</v>
      </c>
    </row>
    <row r="83" spans="1:18" ht="24" customHeight="1" x14ac:dyDescent="0.3">
      <c r="A83" s="16"/>
      <c r="H83" s="7" t="s">
        <v>11</v>
      </c>
      <c r="I83" s="7" t="s">
        <v>33</v>
      </c>
      <c r="J83" s="7" t="s">
        <v>206</v>
      </c>
      <c r="K83" s="7" t="s">
        <v>117</v>
      </c>
      <c r="Q83" s="4">
        <v>3</v>
      </c>
      <c r="R83" s="30">
        <v>45725</v>
      </c>
    </row>
    <row r="84" spans="1:18" ht="24" customHeight="1" x14ac:dyDescent="0.3">
      <c r="A84" s="16"/>
      <c r="H84" s="7" t="s">
        <v>11</v>
      </c>
      <c r="I84" s="7" t="s">
        <v>33</v>
      </c>
      <c r="J84" s="7" t="s">
        <v>207</v>
      </c>
      <c r="K84" s="7" t="s">
        <v>118</v>
      </c>
      <c r="Q84" s="4">
        <v>3</v>
      </c>
      <c r="R84" s="30">
        <v>45726</v>
      </c>
    </row>
    <row r="85" spans="1:18" ht="24" customHeight="1" x14ac:dyDescent="0.3">
      <c r="A85" s="16"/>
      <c r="H85" s="7" t="s">
        <v>11</v>
      </c>
      <c r="I85" s="7" t="s">
        <v>33</v>
      </c>
      <c r="J85" s="7" t="s">
        <v>207</v>
      </c>
      <c r="K85" s="7" t="s">
        <v>137</v>
      </c>
      <c r="Q85" s="4">
        <v>3</v>
      </c>
      <c r="R85" s="30">
        <v>45727</v>
      </c>
    </row>
    <row r="86" spans="1:18" ht="24" customHeight="1" x14ac:dyDescent="0.3">
      <c r="A86" s="16"/>
      <c r="H86" s="7" t="s">
        <v>11</v>
      </c>
      <c r="I86" s="7" t="s">
        <v>33</v>
      </c>
      <c r="J86" s="7" t="s">
        <v>207</v>
      </c>
      <c r="K86" s="7" t="s">
        <v>119</v>
      </c>
      <c r="Q86" s="4">
        <v>3</v>
      </c>
      <c r="R86" s="30">
        <v>45728</v>
      </c>
    </row>
    <row r="87" spans="1:18" ht="24" customHeight="1" x14ac:dyDescent="0.3">
      <c r="A87" s="16"/>
      <c r="H87" s="7" t="s">
        <v>11</v>
      </c>
      <c r="I87" s="7" t="s">
        <v>33</v>
      </c>
      <c r="J87" s="7" t="s">
        <v>207</v>
      </c>
      <c r="K87" s="7" t="s">
        <v>120</v>
      </c>
      <c r="Q87" s="4">
        <v>3</v>
      </c>
      <c r="R87" s="30">
        <v>45729</v>
      </c>
    </row>
    <row r="88" spans="1:18" ht="24" customHeight="1" x14ac:dyDescent="0.3">
      <c r="A88" s="16"/>
      <c r="H88" s="7" t="s">
        <v>11</v>
      </c>
      <c r="I88" s="7" t="s">
        <v>33</v>
      </c>
      <c r="J88" s="7" t="s">
        <v>208</v>
      </c>
      <c r="K88" s="7" t="s">
        <v>121</v>
      </c>
      <c r="Q88" s="4">
        <v>3</v>
      </c>
      <c r="R88" s="30">
        <v>45730</v>
      </c>
    </row>
    <row r="89" spans="1:18" ht="24" customHeight="1" x14ac:dyDescent="0.3">
      <c r="A89" s="16"/>
      <c r="H89" s="7" t="s">
        <v>11</v>
      </c>
      <c r="I89" s="7" t="s">
        <v>33</v>
      </c>
      <c r="J89" s="7" t="s">
        <v>209</v>
      </c>
      <c r="K89" s="7" t="s">
        <v>122</v>
      </c>
      <c r="Q89" s="4">
        <v>3</v>
      </c>
      <c r="R89" s="30">
        <v>45731</v>
      </c>
    </row>
    <row r="90" spans="1:18" ht="24" customHeight="1" x14ac:dyDescent="0.3">
      <c r="A90" s="16"/>
      <c r="H90" s="7" t="s">
        <v>11</v>
      </c>
      <c r="I90" s="7" t="s">
        <v>153</v>
      </c>
      <c r="J90" s="7" t="s">
        <v>210</v>
      </c>
      <c r="K90" s="7" t="s">
        <v>223</v>
      </c>
      <c r="Q90" s="4">
        <v>3</v>
      </c>
      <c r="R90" s="30">
        <v>45732</v>
      </c>
    </row>
    <row r="91" spans="1:18" ht="24" customHeight="1" x14ac:dyDescent="0.3">
      <c r="A91" s="16"/>
      <c r="C91"/>
      <c r="H91" s="7" t="s">
        <v>11</v>
      </c>
      <c r="I91" s="7" t="s">
        <v>153</v>
      </c>
      <c r="J91" s="7" t="s">
        <v>211</v>
      </c>
      <c r="K91" s="7" t="s">
        <v>123</v>
      </c>
      <c r="Q91" s="4">
        <v>3</v>
      </c>
      <c r="R91" s="30">
        <v>45733</v>
      </c>
    </row>
    <row r="92" spans="1:18" ht="24" customHeight="1" x14ac:dyDescent="0.3">
      <c r="A92" s="16"/>
      <c r="C92"/>
      <c r="H92" s="7" t="s">
        <v>11</v>
      </c>
      <c r="I92" s="7" t="s">
        <v>153</v>
      </c>
      <c r="J92" s="7" t="s">
        <v>211</v>
      </c>
      <c r="K92" s="7" t="s">
        <v>124</v>
      </c>
      <c r="Q92" s="4">
        <v>3</v>
      </c>
      <c r="R92" s="30">
        <v>45734</v>
      </c>
    </row>
    <row r="93" spans="1:18" ht="24" customHeight="1" x14ac:dyDescent="0.3">
      <c r="A93" s="16"/>
      <c r="C93"/>
      <c r="H93" s="7" t="s">
        <v>11</v>
      </c>
      <c r="I93" s="7" t="s">
        <v>153</v>
      </c>
      <c r="J93" s="7" t="s">
        <v>211</v>
      </c>
      <c r="K93" s="7" t="s">
        <v>125</v>
      </c>
      <c r="Q93" s="4">
        <v>3</v>
      </c>
      <c r="R93" s="30">
        <v>45735</v>
      </c>
    </row>
    <row r="94" spans="1:18" ht="24" customHeight="1" x14ac:dyDescent="0.3">
      <c r="A94" s="16"/>
      <c r="C94"/>
      <c r="H94" s="7" t="s">
        <v>11</v>
      </c>
      <c r="I94" s="7" t="s">
        <v>153</v>
      </c>
      <c r="J94" s="7" t="s">
        <v>211</v>
      </c>
      <c r="K94" s="7" t="s">
        <v>126</v>
      </c>
      <c r="Q94" s="4">
        <v>3</v>
      </c>
      <c r="R94" s="30">
        <v>45736</v>
      </c>
    </row>
    <row r="95" spans="1:18" ht="24" customHeight="1" x14ac:dyDescent="0.3">
      <c r="A95" s="16"/>
      <c r="C95"/>
      <c r="H95" s="7" t="s">
        <v>11</v>
      </c>
      <c r="I95" s="7" t="s">
        <v>153</v>
      </c>
      <c r="J95" s="7" t="s">
        <v>212</v>
      </c>
      <c r="K95" s="7" t="s">
        <v>127</v>
      </c>
      <c r="Q95" s="4">
        <v>3</v>
      </c>
      <c r="R95" s="30">
        <v>45737</v>
      </c>
    </row>
    <row r="96" spans="1:18" ht="24" customHeight="1" x14ac:dyDescent="0.3">
      <c r="A96" s="16"/>
      <c r="C96"/>
      <c r="H96" s="7" t="s">
        <v>15</v>
      </c>
      <c r="I96" s="7" t="s">
        <v>49</v>
      </c>
      <c r="J96" s="7" t="s">
        <v>213</v>
      </c>
      <c r="K96" s="7" t="s">
        <v>128</v>
      </c>
      <c r="Q96" s="4">
        <v>3</v>
      </c>
      <c r="R96" s="30">
        <v>45738</v>
      </c>
    </row>
    <row r="97" spans="1:18" ht="24" customHeight="1" x14ac:dyDescent="0.3">
      <c r="A97" s="16"/>
      <c r="C97"/>
      <c r="H97" s="7" t="s">
        <v>15</v>
      </c>
      <c r="I97" s="7" t="s">
        <v>49</v>
      </c>
      <c r="J97" s="7" t="s">
        <v>214</v>
      </c>
      <c r="K97" s="7" t="s">
        <v>129</v>
      </c>
      <c r="Q97" s="4">
        <v>3</v>
      </c>
      <c r="R97" s="30">
        <v>45739</v>
      </c>
    </row>
    <row r="98" spans="1:18" ht="24" customHeight="1" x14ac:dyDescent="0.3">
      <c r="A98" s="16"/>
      <c r="C98"/>
      <c r="H98" s="7" t="s">
        <v>9</v>
      </c>
      <c r="I98" s="7" t="s">
        <v>10</v>
      </c>
      <c r="J98" s="7" t="s">
        <v>215</v>
      </c>
      <c r="K98" s="7" t="s">
        <v>130</v>
      </c>
      <c r="M98" s="3"/>
      <c r="N98" s="3"/>
      <c r="Q98" s="4">
        <v>3</v>
      </c>
      <c r="R98" s="30">
        <v>45740</v>
      </c>
    </row>
    <row r="99" spans="1:18" ht="24" customHeight="1" x14ac:dyDescent="0.3">
      <c r="A99" s="16"/>
      <c r="C99"/>
      <c r="H99" s="7" t="s">
        <v>9</v>
      </c>
      <c r="I99" s="7" t="s">
        <v>10</v>
      </c>
      <c r="J99" s="7" t="s">
        <v>216</v>
      </c>
      <c r="K99" s="7" t="s">
        <v>131</v>
      </c>
      <c r="Q99" s="4">
        <v>3</v>
      </c>
      <c r="R99" s="30">
        <v>45741</v>
      </c>
    </row>
    <row r="100" spans="1:18" ht="24" customHeight="1" x14ac:dyDescent="0.3">
      <c r="A100" s="16"/>
      <c r="C100"/>
      <c r="Q100" s="4">
        <v>3</v>
      </c>
      <c r="R100" s="30">
        <v>45742</v>
      </c>
    </row>
    <row r="101" spans="1:18" ht="24" customHeight="1" x14ac:dyDescent="0.3">
      <c r="A101" s="16"/>
      <c r="C101"/>
      <c r="Q101" s="4">
        <v>3</v>
      </c>
      <c r="R101" s="30">
        <v>45743</v>
      </c>
    </row>
    <row r="102" spans="1:18" ht="24" customHeight="1" x14ac:dyDescent="0.3">
      <c r="A102" s="16"/>
      <c r="C102"/>
      <c r="Q102" s="4">
        <v>3</v>
      </c>
      <c r="R102" s="30">
        <v>45744</v>
      </c>
    </row>
    <row r="103" spans="1:18" ht="24" customHeight="1" x14ac:dyDescent="0.3">
      <c r="A103" s="16"/>
      <c r="C103"/>
      <c r="Q103" s="4">
        <v>3</v>
      </c>
      <c r="R103" s="30">
        <v>45745</v>
      </c>
    </row>
    <row r="104" spans="1:18" ht="24" customHeight="1" x14ac:dyDescent="0.3">
      <c r="A104" s="16"/>
      <c r="C104"/>
      <c r="Q104" s="4">
        <v>3</v>
      </c>
      <c r="R104" s="30">
        <v>45746</v>
      </c>
    </row>
    <row r="105" spans="1:18" ht="24" customHeight="1" x14ac:dyDescent="0.3">
      <c r="C105"/>
      <c r="Q105" s="4">
        <v>3</v>
      </c>
      <c r="R105" s="30">
        <v>45747</v>
      </c>
    </row>
    <row r="106" spans="1:18" ht="24" customHeight="1" x14ac:dyDescent="0.3">
      <c r="C106"/>
      <c r="Q106" s="4">
        <v>3</v>
      </c>
      <c r="R106" s="30">
        <v>45748</v>
      </c>
    </row>
    <row r="107" spans="1:18" ht="24" customHeight="1" x14ac:dyDescent="0.3">
      <c r="C107"/>
      <c r="F107" s="18" t="s">
        <v>224</v>
      </c>
      <c r="Q107" s="4">
        <v>3</v>
      </c>
      <c r="R107" s="30">
        <v>45749</v>
      </c>
    </row>
    <row r="108" spans="1:18" ht="24" customHeight="1" x14ac:dyDescent="0.3">
      <c r="C108"/>
      <c r="F108" s="18" t="s">
        <v>231</v>
      </c>
      <c r="Q108" s="4">
        <v>3</v>
      </c>
      <c r="R108" s="30">
        <v>45750</v>
      </c>
    </row>
    <row r="109" spans="1:18" ht="24" customHeight="1" x14ac:dyDescent="0.3">
      <c r="C109"/>
      <c r="Q109" s="4">
        <v>3</v>
      </c>
      <c r="R109" s="30">
        <v>45751</v>
      </c>
    </row>
    <row r="110" spans="1:18" ht="24" customHeight="1" x14ac:dyDescent="0.3">
      <c r="C110"/>
      <c r="Q110" s="4">
        <v>3</v>
      </c>
      <c r="R110" s="30">
        <v>45752</v>
      </c>
    </row>
    <row r="111" spans="1:18" ht="24" customHeight="1" x14ac:dyDescent="0.3">
      <c r="C111"/>
      <c r="Q111" s="4">
        <v>3</v>
      </c>
      <c r="R111" s="30">
        <v>45753</v>
      </c>
    </row>
    <row r="112" spans="1:18" ht="24" customHeight="1" x14ac:dyDescent="0.3">
      <c r="C112"/>
      <c r="Q112" s="4">
        <v>3</v>
      </c>
      <c r="R112" s="30">
        <v>45754</v>
      </c>
    </row>
    <row r="113" spans="3:18" ht="24" customHeight="1" x14ac:dyDescent="0.3">
      <c r="C113"/>
      <c r="Q113" s="4">
        <v>4</v>
      </c>
      <c r="R113" s="30">
        <v>45748</v>
      </c>
    </row>
    <row r="114" spans="3:18" ht="24" customHeight="1" x14ac:dyDescent="0.3">
      <c r="C114"/>
      <c r="Q114" s="4">
        <v>4</v>
      </c>
      <c r="R114" s="30">
        <v>45749</v>
      </c>
    </row>
    <row r="115" spans="3:18" ht="24" customHeight="1" x14ac:dyDescent="0.3">
      <c r="C115"/>
      <c r="Q115" s="4">
        <v>4</v>
      </c>
      <c r="R115" s="30">
        <v>45750</v>
      </c>
    </row>
    <row r="116" spans="3:18" ht="24" customHeight="1" x14ac:dyDescent="0.3">
      <c r="C116"/>
      <c r="Q116" s="4">
        <v>4</v>
      </c>
      <c r="R116" s="30">
        <v>45751</v>
      </c>
    </row>
    <row r="117" spans="3:18" ht="24" customHeight="1" x14ac:dyDescent="0.3">
      <c r="C117"/>
      <c r="Q117" s="4">
        <v>4</v>
      </c>
      <c r="R117" s="30">
        <v>45752</v>
      </c>
    </row>
    <row r="118" spans="3:18" ht="24" customHeight="1" x14ac:dyDescent="0.3">
      <c r="C118"/>
      <c r="Q118" s="4">
        <v>4</v>
      </c>
      <c r="R118" s="30">
        <v>45753</v>
      </c>
    </row>
    <row r="119" spans="3:18" ht="24" customHeight="1" x14ac:dyDescent="0.3">
      <c r="C119"/>
      <c r="Q119" s="4">
        <v>4</v>
      </c>
      <c r="R119" s="30">
        <v>45754</v>
      </c>
    </row>
    <row r="120" spans="3:18" ht="24" customHeight="1" x14ac:dyDescent="0.3">
      <c r="C120"/>
      <c r="Q120" s="4">
        <v>4</v>
      </c>
      <c r="R120" s="30">
        <v>45755</v>
      </c>
    </row>
    <row r="121" spans="3:18" ht="24" customHeight="1" x14ac:dyDescent="0.3">
      <c r="C121"/>
      <c r="Q121" s="4">
        <v>4</v>
      </c>
      <c r="R121" s="30">
        <v>45756</v>
      </c>
    </row>
    <row r="122" spans="3:18" ht="24" customHeight="1" x14ac:dyDescent="0.3">
      <c r="Q122" s="4">
        <v>4</v>
      </c>
      <c r="R122" s="30">
        <v>45757</v>
      </c>
    </row>
    <row r="123" spans="3:18" ht="24" customHeight="1" x14ac:dyDescent="0.3">
      <c r="Q123" s="4">
        <v>4</v>
      </c>
      <c r="R123" s="30">
        <v>45758</v>
      </c>
    </row>
    <row r="124" spans="3:18" ht="24" customHeight="1" x14ac:dyDescent="0.3">
      <c r="Q124" s="4">
        <v>4</v>
      </c>
      <c r="R124" s="30">
        <v>45759</v>
      </c>
    </row>
    <row r="125" spans="3:18" ht="24" customHeight="1" x14ac:dyDescent="0.3">
      <c r="Q125" s="4">
        <v>4</v>
      </c>
      <c r="R125" s="30">
        <v>45760</v>
      </c>
    </row>
    <row r="126" spans="3:18" ht="24" customHeight="1" x14ac:dyDescent="0.3">
      <c r="Q126" s="4">
        <v>4</v>
      </c>
      <c r="R126" s="30">
        <v>45761</v>
      </c>
    </row>
    <row r="127" spans="3:18" ht="24" customHeight="1" x14ac:dyDescent="0.3">
      <c r="Q127" s="4">
        <v>4</v>
      </c>
      <c r="R127" s="30">
        <v>45762</v>
      </c>
    </row>
    <row r="128" spans="3:18" ht="24" customHeight="1" x14ac:dyDescent="0.3">
      <c r="Q128" s="4">
        <v>4</v>
      </c>
      <c r="R128" s="30">
        <v>45763</v>
      </c>
    </row>
    <row r="129" spans="17:18" ht="24" customHeight="1" x14ac:dyDescent="0.3">
      <c r="Q129" s="4">
        <v>4</v>
      </c>
      <c r="R129" s="30">
        <v>45764</v>
      </c>
    </row>
    <row r="130" spans="17:18" ht="24" customHeight="1" x14ac:dyDescent="0.3">
      <c r="Q130" s="4">
        <v>4</v>
      </c>
      <c r="R130" s="30">
        <v>45765</v>
      </c>
    </row>
    <row r="131" spans="17:18" ht="24" customHeight="1" x14ac:dyDescent="0.3">
      <c r="Q131" s="4">
        <v>4</v>
      </c>
      <c r="R131" s="30">
        <v>45766</v>
      </c>
    </row>
    <row r="132" spans="17:18" ht="24" customHeight="1" x14ac:dyDescent="0.3">
      <c r="Q132" s="4">
        <v>4</v>
      </c>
      <c r="R132" s="30">
        <v>45767</v>
      </c>
    </row>
    <row r="133" spans="17:18" ht="24" customHeight="1" x14ac:dyDescent="0.3">
      <c r="Q133" s="4">
        <v>4</v>
      </c>
      <c r="R133" s="30">
        <v>45768</v>
      </c>
    </row>
    <row r="134" spans="17:18" ht="24" customHeight="1" x14ac:dyDescent="0.3">
      <c r="Q134" s="4">
        <v>4</v>
      </c>
      <c r="R134" s="30">
        <v>45769</v>
      </c>
    </row>
    <row r="135" spans="17:18" ht="24" customHeight="1" x14ac:dyDescent="0.3">
      <c r="Q135" s="4">
        <v>4</v>
      </c>
      <c r="R135" s="30">
        <v>45770</v>
      </c>
    </row>
    <row r="136" spans="17:18" ht="24" customHeight="1" x14ac:dyDescent="0.3">
      <c r="Q136" s="4">
        <v>4</v>
      </c>
      <c r="R136" s="30">
        <v>45771</v>
      </c>
    </row>
    <row r="137" spans="17:18" ht="24" customHeight="1" x14ac:dyDescent="0.3">
      <c r="Q137" s="4">
        <v>4</v>
      </c>
      <c r="R137" s="30">
        <v>45772</v>
      </c>
    </row>
    <row r="138" spans="17:18" ht="24" customHeight="1" x14ac:dyDescent="0.3">
      <c r="Q138" s="4">
        <v>4</v>
      </c>
      <c r="R138" s="30">
        <v>45773</v>
      </c>
    </row>
    <row r="139" spans="17:18" ht="24" customHeight="1" x14ac:dyDescent="0.3">
      <c r="Q139" s="4">
        <v>4</v>
      </c>
      <c r="R139" s="30">
        <v>45774</v>
      </c>
    </row>
    <row r="140" spans="17:18" ht="24" customHeight="1" x14ac:dyDescent="0.3">
      <c r="Q140" s="4">
        <v>4</v>
      </c>
      <c r="R140" s="30">
        <v>45775</v>
      </c>
    </row>
    <row r="141" spans="17:18" ht="24" customHeight="1" x14ac:dyDescent="0.3">
      <c r="Q141" s="4">
        <v>4</v>
      </c>
      <c r="R141" s="30">
        <v>45776</v>
      </c>
    </row>
    <row r="142" spans="17:18" ht="24" customHeight="1" x14ac:dyDescent="0.3">
      <c r="Q142" s="4">
        <v>4</v>
      </c>
      <c r="R142" s="30">
        <v>45777</v>
      </c>
    </row>
    <row r="143" spans="17:18" ht="24" customHeight="1" x14ac:dyDescent="0.3">
      <c r="Q143" s="4">
        <v>4</v>
      </c>
      <c r="R143" s="30">
        <v>45778</v>
      </c>
    </row>
    <row r="144" spans="17:18" ht="24" customHeight="1" x14ac:dyDescent="0.3">
      <c r="Q144" s="4">
        <v>4</v>
      </c>
      <c r="R144" s="30">
        <v>45779</v>
      </c>
    </row>
    <row r="145" spans="17:18" ht="24" customHeight="1" x14ac:dyDescent="0.3">
      <c r="Q145" s="4">
        <v>4</v>
      </c>
      <c r="R145" s="30">
        <v>45780</v>
      </c>
    </row>
    <row r="146" spans="17:18" ht="24" customHeight="1" x14ac:dyDescent="0.3">
      <c r="Q146" s="4">
        <v>4</v>
      </c>
      <c r="R146" s="30">
        <v>45781</v>
      </c>
    </row>
    <row r="147" spans="17:18" ht="24" customHeight="1" x14ac:dyDescent="0.3">
      <c r="Q147" s="4">
        <v>4</v>
      </c>
      <c r="R147" s="30">
        <v>45782</v>
      </c>
    </row>
    <row r="148" spans="17:18" ht="24" customHeight="1" x14ac:dyDescent="0.3">
      <c r="Q148" s="4">
        <v>4</v>
      </c>
      <c r="R148" s="30">
        <v>45783</v>
      </c>
    </row>
    <row r="149" spans="17:18" ht="24" customHeight="1" x14ac:dyDescent="0.3">
      <c r="Q149" s="4">
        <v>4</v>
      </c>
      <c r="R149" s="30">
        <v>45784</v>
      </c>
    </row>
    <row r="150" spans="17:18" ht="24" customHeight="1" x14ac:dyDescent="0.3">
      <c r="Q150" s="4">
        <v>5</v>
      </c>
      <c r="R150" s="30">
        <v>45778</v>
      </c>
    </row>
    <row r="151" spans="17:18" ht="24" customHeight="1" x14ac:dyDescent="0.3">
      <c r="Q151" s="4">
        <v>5</v>
      </c>
      <c r="R151" s="30">
        <v>45779</v>
      </c>
    </row>
    <row r="152" spans="17:18" ht="24" customHeight="1" x14ac:dyDescent="0.3">
      <c r="Q152" s="4">
        <v>5</v>
      </c>
      <c r="R152" s="30">
        <v>45780</v>
      </c>
    </row>
    <row r="153" spans="17:18" ht="24" customHeight="1" x14ac:dyDescent="0.3">
      <c r="Q153" s="4">
        <v>5</v>
      </c>
      <c r="R153" s="30">
        <v>45781</v>
      </c>
    </row>
    <row r="154" spans="17:18" ht="24" customHeight="1" x14ac:dyDescent="0.3">
      <c r="Q154" s="4">
        <v>5</v>
      </c>
      <c r="R154" s="30">
        <v>45782</v>
      </c>
    </row>
    <row r="155" spans="17:18" ht="24" customHeight="1" x14ac:dyDescent="0.3">
      <c r="Q155" s="4">
        <v>5</v>
      </c>
      <c r="R155" s="30">
        <v>45783</v>
      </c>
    </row>
    <row r="156" spans="17:18" ht="24" customHeight="1" x14ac:dyDescent="0.3">
      <c r="Q156" s="4">
        <v>5</v>
      </c>
      <c r="R156" s="30">
        <v>45784</v>
      </c>
    </row>
    <row r="157" spans="17:18" ht="24" customHeight="1" x14ac:dyDescent="0.3">
      <c r="Q157" s="4">
        <v>5</v>
      </c>
      <c r="R157" s="30">
        <v>45785</v>
      </c>
    </row>
    <row r="158" spans="17:18" ht="24" customHeight="1" x14ac:dyDescent="0.3">
      <c r="Q158" s="4">
        <v>5</v>
      </c>
      <c r="R158" s="30">
        <v>45786</v>
      </c>
    </row>
    <row r="159" spans="17:18" ht="24" customHeight="1" x14ac:dyDescent="0.3">
      <c r="Q159" s="4">
        <v>5</v>
      </c>
      <c r="R159" s="30">
        <v>45787</v>
      </c>
    </row>
    <row r="160" spans="17:18" ht="24" customHeight="1" x14ac:dyDescent="0.3">
      <c r="Q160" s="4">
        <v>5</v>
      </c>
      <c r="R160" s="30">
        <v>45788</v>
      </c>
    </row>
    <row r="161" spans="17:18" ht="24" customHeight="1" x14ac:dyDescent="0.3">
      <c r="Q161" s="4">
        <v>5</v>
      </c>
      <c r="R161" s="30">
        <v>45789</v>
      </c>
    </row>
    <row r="162" spans="17:18" ht="24" customHeight="1" x14ac:dyDescent="0.3">
      <c r="Q162" s="4">
        <v>5</v>
      </c>
      <c r="R162" s="30">
        <v>45790</v>
      </c>
    </row>
    <row r="163" spans="17:18" ht="24" customHeight="1" x14ac:dyDescent="0.3">
      <c r="Q163" s="4">
        <v>5</v>
      </c>
      <c r="R163" s="30">
        <v>45791</v>
      </c>
    </row>
    <row r="164" spans="17:18" ht="24" customHeight="1" x14ac:dyDescent="0.3">
      <c r="Q164" s="4">
        <v>5</v>
      </c>
      <c r="R164" s="30">
        <v>45792</v>
      </c>
    </row>
    <row r="165" spans="17:18" ht="24" customHeight="1" x14ac:dyDescent="0.3">
      <c r="Q165" s="4">
        <v>5</v>
      </c>
      <c r="R165" s="30">
        <v>45793</v>
      </c>
    </row>
    <row r="166" spans="17:18" ht="24" customHeight="1" x14ac:dyDescent="0.3">
      <c r="Q166" s="4">
        <v>5</v>
      </c>
      <c r="R166" s="30">
        <v>45794</v>
      </c>
    </row>
    <row r="167" spans="17:18" ht="24" customHeight="1" x14ac:dyDescent="0.3">
      <c r="Q167" s="4">
        <v>5</v>
      </c>
      <c r="R167" s="30">
        <v>45795</v>
      </c>
    </row>
    <row r="168" spans="17:18" ht="24" customHeight="1" x14ac:dyDescent="0.3">
      <c r="Q168" s="4">
        <v>5</v>
      </c>
      <c r="R168" s="30">
        <v>45796</v>
      </c>
    </row>
    <row r="169" spans="17:18" ht="24" customHeight="1" x14ac:dyDescent="0.3">
      <c r="Q169" s="4">
        <v>5</v>
      </c>
      <c r="R169" s="30">
        <v>45797</v>
      </c>
    </row>
    <row r="170" spans="17:18" ht="24" customHeight="1" x14ac:dyDescent="0.3">
      <c r="Q170" s="4">
        <v>5</v>
      </c>
      <c r="R170" s="30">
        <v>45798</v>
      </c>
    </row>
    <row r="171" spans="17:18" ht="24" customHeight="1" x14ac:dyDescent="0.3">
      <c r="Q171" s="4">
        <v>5</v>
      </c>
      <c r="R171" s="30">
        <v>45799</v>
      </c>
    </row>
    <row r="172" spans="17:18" ht="24" customHeight="1" x14ac:dyDescent="0.3">
      <c r="Q172" s="4">
        <v>5</v>
      </c>
      <c r="R172" s="30">
        <v>45800</v>
      </c>
    </row>
    <row r="173" spans="17:18" ht="24" customHeight="1" x14ac:dyDescent="0.3">
      <c r="Q173" s="4">
        <v>5</v>
      </c>
      <c r="R173" s="30">
        <v>45801</v>
      </c>
    </row>
    <row r="174" spans="17:18" ht="24" customHeight="1" x14ac:dyDescent="0.3">
      <c r="Q174" s="4">
        <v>5</v>
      </c>
      <c r="R174" s="30">
        <v>45802</v>
      </c>
    </row>
    <row r="175" spans="17:18" ht="24" customHeight="1" x14ac:dyDescent="0.3">
      <c r="Q175" s="4">
        <v>5</v>
      </c>
      <c r="R175" s="30">
        <v>45803</v>
      </c>
    </row>
    <row r="176" spans="17:18" ht="24" customHeight="1" x14ac:dyDescent="0.3">
      <c r="Q176" s="4">
        <v>5</v>
      </c>
      <c r="R176" s="30">
        <v>45804</v>
      </c>
    </row>
    <row r="177" spans="17:18" ht="24" customHeight="1" x14ac:dyDescent="0.3">
      <c r="Q177" s="4">
        <v>5</v>
      </c>
      <c r="R177" s="30">
        <v>45805</v>
      </c>
    </row>
    <row r="178" spans="17:18" ht="24" customHeight="1" x14ac:dyDescent="0.3">
      <c r="Q178" s="4">
        <v>5</v>
      </c>
      <c r="R178" s="30">
        <v>45806</v>
      </c>
    </row>
    <row r="179" spans="17:18" ht="24" customHeight="1" x14ac:dyDescent="0.3">
      <c r="Q179" s="4">
        <v>5</v>
      </c>
      <c r="R179" s="30">
        <v>45807</v>
      </c>
    </row>
    <row r="180" spans="17:18" ht="24" customHeight="1" x14ac:dyDescent="0.3">
      <c r="Q180" s="4">
        <v>5</v>
      </c>
      <c r="R180" s="30">
        <v>45808</v>
      </c>
    </row>
    <row r="181" spans="17:18" ht="24" customHeight="1" x14ac:dyDescent="0.3">
      <c r="Q181" s="4">
        <v>5</v>
      </c>
      <c r="R181" s="30">
        <v>45809</v>
      </c>
    </row>
    <row r="182" spans="17:18" ht="24" customHeight="1" x14ac:dyDescent="0.3">
      <c r="Q182" s="4">
        <v>5</v>
      </c>
      <c r="R182" s="30">
        <v>45810</v>
      </c>
    </row>
    <row r="183" spans="17:18" ht="24" customHeight="1" x14ac:dyDescent="0.3">
      <c r="Q183" s="4">
        <v>5</v>
      </c>
      <c r="R183" s="30">
        <v>45811</v>
      </c>
    </row>
    <row r="184" spans="17:18" ht="24" customHeight="1" x14ac:dyDescent="0.3">
      <c r="Q184" s="4">
        <v>5</v>
      </c>
      <c r="R184" s="30">
        <v>45812</v>
      </c>
    </row>
    <row r="185" spans="17:18" ht="24" customHeight="1" x14ac:dyDescent="0.3">
      <c r="Q185" s="4">
        <v>5</v>
      </c>
      <c r="R185" s="30">
        <v>45813</v>
      </c>
    </row>
    <row r="186" spans="17:18" ht="24" customHeight="1" x14ac:dyDescent="0.3">
      <c r="Q186" s="4">
        <v>5</v>
      </c>
      <c r="R186" s="30">
        <v>45814</v>
      </c>
    </row>
    <row r="187" spans="17:18" ht="24" customHeight="1" x14ac:dyDescent="0.3">
      <c r="Q187" s="4">
        <v>5</v>
      </c>
      <c r="R187" s="30">
        <v>45815</v>
      </c>
    </row>
    <row r="188" spans="17:18" ht="24" customHeight="1" x14ac:dyDescent="0.3">
      <c r="Q188" s="4">
        <v>6</v>
      </c>
      <c r="R188" s="30">
        <v>45809</v>
      </c>
    </row>
    <row r="189" spans="17:18" ht="24" customHeight="1" x14ac:dyDescent="0.3">
      <c r="Q189" s="4">
        <v>6</v>
      </c>
      <c r="R189" s="30">
        <v>45810</v>
      </c>
    </row>
    <row r="190" spans="17:18" ht="24" customHeight="1" x14ac:dyDescent="0.3">
      <c r="Q190" s="4">
        <v>6</v>
      </c>
      <c r="R190" s="30">
        <v>45811</v>
      </c>
    </row>
    <row r="191" spans="17:18" ht="24" customHeight="1" x14ac:dyDescent="0.3">
      <c r="Q191" s="4">
        <v>6</v>
      </c>
      <c r="R191" s="30">
        <v>45812</v>
      </c>
    </row>
    <row r="192" spans="17:18" ht="24" customHeight="1" x14ac:dyDescent="0.3">
      <c r="Q192" s="4">
        <v>6</v>
      </c>
      <c r="R192" s="30">
        <v>45813</v>
      </c>
    </row>
    <row r="193" spans="17:18" ht="24" customHeight="1" x14ac:dyDescent="0.3">
      <c r="Q193" s="4">
        <v>6</v>
      </c>
      <c r="R193" s="30">
        <v>45814</v>
      </c>
    </row>
    <row r="194" spans="17:18" ht="24" customHeight="1" x14ac:dyDescent="0.3">
      <c r="Q194" s="4">
        <v>6</v>
      </c>
      <c r="R194" s="30">
        <v>45815</v>
      </c>
    </row>
    <row r="195" spans="17:18" ht="24" customHeight="1" x14ac:dyDescent="0.3">
      <c r="Q195" s="4">
        <v>6</v>
      </c>
      <c r="R195" s="30">
        <v>45816</v>
      </c>
    </row>
    <row r="196" spans="17:18" ht="24" customHeight="1" x14ac:dyDescent="0.3">
      <c r="Q196" s="4">
        <v>6</v>
      </c>
      <c r="R196" s="30">
        <v>45817</v>
      </c>
    </row>
    <row r="197" spans="17:18" ht="24" customHeight="1" x14ac:dyDescent="0.3">
      <c r="Q197" s="4">
        <v>6</v>
      </c>
      <c r="R197" s="30">
        <v>45818</v>
      </c>
    </row>
    <row r="198" spans="17:18" ht="24" customHeight="1" x14ac:dyDescent="0.3">
      <c r="Q198" s="4">
        <v>6</v>
      </c>
      <c r="R198" s="30">
        <v>45819</v>
      </c>
    </row>
    <row r="199" spans="17:18" ht="24" customHeight="1" x14ac:dyDescent="0.3">
      <c r="Q199" s="4">
        <v>6</v>
      </c>
      <c r="R199" s="30">
        <v>45820</v>
      </c>
    </row>
    <row r="200" spans="17:18" ht="24" customHeight="1" x14ac:dyDescent="0.3">
      <c r="Q200" s="4">
        <v>6</v>
      </c>
      <c r="R200" s="30">
        <v>45821</v>
      </c>
    </row>
    <row r="201" spans="17:18" ht="24" customHeight="1" x14ac:dyDescent="0.3">
      <c r="Q201" s="4">
        <v>6</v>
      </c>
      <c r="R201" s="30">
        <v>45822</v>
      </c>
    </row>
    <row r="202" spans="17:18" ht="24" customHeight="1" x14ac:dyDescent="0.3">
      <c r="Q202" s="4">
        <v>6</v>
      </c>
      <c r="R202" s="30">
        <v>45823</v>
      </c>
    </row>
    <row r="203" spans="17:18" ht="24" customHeight="1" x14ac:dyDescent="0.3">
      <c r="Q203" s="4">
        <v>6</v>
      </c>
      <c r="R203" s="30">
        <v>45824</v>
      </c>
    </row>
    <row r="204" spans="17:18" ht="24" customHeight="1" x14ac:dyDescent="0.3">
      <c r="Q204" s="4">
        <v>6</v>
      </c>
      <c r="R204" s="30">
        <v>45825</v>
      </c>
    </row>
    <row r="205" spans="17:18" ht="24" customHeight="1" x14ac:dyDescent="0.3">
      <c r="Q205" s="4">
        <v>6</v>
      </c>
      <c r="R205" s="30">
        <v>45826</v>
      </c>
    </row>
    <row r="206" spans="17:18" ht="24" customHeight="1" x14ac:dyDescent="0.3">
      <c r="Q206" s="4">
        <v>6</v>
      </c>
      <c r="R206" s="30">
        <v>45827</v>
      </c>
    </row>
    <row r="207" spans="17:18" ht="24" customHeight="1" x14ac:dyDescent="0.3">
      <c r="Q207" s="4">
        <v>6</v>
      </c>
      <c r="R207" s="30">
        <v>45828</v>
      </c>
    </row>
    <row r="208" spans="17:18" ht="24" customHeight="1" x14ac:dyDescent="0.3">
      <c r="Q208" s="4">
        <v>6</v>
      </c>
      <c r="R208" s="30">
        <v>45829</v>
      </c>
    </row>
    <row r="209" spans="17:18" ht="24" customHeight="1" x14ac:dyDescent="0.3">
      <c r="Q209" s="4">
        <v>6</v>
      </c>
      <c r="R209" s="30">
        <v>45830</v>
      </c>
    </row>
    <row r="210" spans="17:18" ht="24" customHeight="1" x14ac:dyDescent="0.3">
      <c r="Q210" s="4">
        <v>6</v>
      </c>
      <c r="R210" s="30">
        <v>45831</v>
      </c>
    </row>
    <row r="211" spans="17:18" ht="24" customHeight="1" x14ac:dyDescent="0.3">
      <c r="Q211" s="4">
        <v>6</v>
      </c>
      <c r="R211" s="30">
        <v>45832</v>
      </c>
    </row>
    <row r="212" spans="17:18" ht="24" customHeight="1" x14ac:dyDescent="0.3">
      <c r="Q212" s="4">
        <v>6</v>
      </c>
      <c r="R212" s="30">
        <v>45833</v>
      </c>
    </row>
    <row r="213" spans="17:18" ht="24" customHeight="1" x14ac:dyDescent="0.3">
      <c r="Q213" s="4">
        <v>6</v>
      </c>
      <c r="R213" s="30">
        <v>45834</v>
      </c>
    </row>
    <row r="214" spans="17:18" ht="24" customHeight="1" x14ac:dyDescent="0.3">
      <c r="Q214" s="4">
        <v>6</v>
      </c>
      <c r="R214" s="30">
        <v>45835</v>
      </c>
    </row>
    <row r="215" spans="17:18" ht="24" customHeight="1" x14ac:dyDescent="0.3">
      <c r="Q215" s="4">
        <v>6</v>
      </c>
      <c r="R215" s="30">
        <v>45836</v>
      </c>
    </row>
    <row r="216" spans="17:18" ht="24" customHeight="1" x14ac:dyDescent="0.3">
      <c r="Q216" s="4">
        <v>6</v>
      </c>
      <c r="R216" s="30">
        <v>45837</v>
      </c>
    </row>
    <row r="217" spans="17:18" ht="24" customHeight="1" x14ac:dyDescent="0.3">
      <c r="Q217" s="4">
        <v>6</v>
      </c>
      <c r="R217" s="30">
        <v>45838</v>
      </c>
    </row>
    <row r="218" spans="17:18" ht="24" customHeight="1" x14ac:dyDescent="0.3">
      <c r="Q218" s="4">
        <v>6</v>
      </c>
      <c r="R218" s="30">
        <v>45839</v>
      </c>
    </row>
    <row r="219" spans="17:18" ht="24" customHeight="1" x14ac:dyDescent="0.3">
      <c r="Q219" s="4">
        <v>6</v>
      </c>
      <c r="R219" s="30">
        <v>45840</v>
      </c>
    </row>
    <row r="220" spans="17:18" ht="24" customHeight="1" x14ac:dyDescent="0.3">
      <c r="Q220" s="4">
        <v>6</v>
      </c>
      <c r="R220" s="30">
        <v>45841</v>
      </c>
    </row>
    <row r="221" spans="17:18" ht="24" customHeight="1" x14ac:dyDescent="0.3">
      <c r="Q221" s="4">
        <v>6</v>
      </c>
      <c r="R221" s="30">
        <v>45842</v>
      </c>
    </row>
    <row r="222" spans="17:18" ht="24" customHeight="1" x14ac:dyDescent="0.3">
      <c r="Q222" s="4">
        <v>6</v>
      </c>
      <c r="R222" s="30">
        <v>45843</v>
      </c>
    </row>
    <row r="223" spans="17:18" ht="24" customHeight="1" x14ac:dyDescent="0.3">
      <c r="Q223" s="4">
        <v>6</v>
      </c>
      <c r="R223" s="30">
        <v>45844</v>
      </c>
    </row>
    <row r="224" spans="17:18" ht="24" customHeight="1" x14ac:dyDescent="0.3">
      <c r="Q224" s="4">
        <v>6</v>
      </c>
      <c r="R224" s="30">
        <v>45845</v>
      </c>
    </row>
    <row r="225" spans="17:18" ht="24" customHeight="1" x14ac:dyDescent="0.3">
      <c r="Q225" s="4">
        <v>7</v>
      </c>
      <c r="R225" s="30">
        <v>45839</v>
      </c>
    </row>
    <row r="226" spans="17:18" ht="24" customHeight="1" x14ac:dyDescent="0.3">
      <c r="Q226" s="4">
        <v>7</v>
      </c>
      <c r="R226" s="30">
        <v>45840</v>
      </c>
    </row>
    <row r="227" spans="17:18" ht="24" customHeight="1" x14ac:dyDescent="0.3">
      <c r="Q227" s="4">
        <v>7</v>
      </c>
      <c r="R227" s="30">
        <v>45841</v>
      </c>
    </row>
    <row r="228" spans="17:18" ht="24" customHeight="1" x14ac:dyDescent="0.3">
      <c r="Q228" s="4">
        <v>7</v>
      </c>
      <c r="R228" s="30">
        <v>45842</v>
      </c>
    </row>
    <row r="229" spans="17:18" ht="24" customHeight="1" x14ac:dyDescent="0.3">
      <c r="Q229" s="4">
        <v>7</v>
      </c>
      <c r="R229" s="30">
        <v>45843</v>
      </c>
    </row>
    <row r="230" spans="17:18" ht="24" customHeight="1" x14ac:dyDescent="0.3">
      <c r="Q230" s="4">
        <v>7</v>
      </c>
      <c r="R230" s="30">
        <v>45844</v>
      </c>
    </row>
    <row r="231" spans="17:18" ht="24" customHeight="1" x14ac:dyDescent="0.3">
      <c r="Q231" s="4">
        <v>7</v>
      </c>
      <c r="R231" s="30">
        <v>45845</v>
      </c>
    </row>
    <row r="232" spans="17:18" ht="24" customHeight="1" x14ac:dyDescent="0.3">
      <c r="Q232" s="4">
        <v>7</v>
      </c>
      <c r="R232" s="30">
        <v>45846</v>
      </c>
    </row>
    <row r="233" spans="17:18" ht="24" customHeight="1" x14ac:dyDescent="0.3">
      <c r="Q233" s="4">
        <v>7</v>
      </c>
      <c r="R233" s="30">
        <v>45847</v>
      </c>
    </row>
    <row r="234" spans="17:18" ht="24" customHeight="1" x14ac:dyDescent="0.3">
      <c r="Q234" s="4">
        <v>7</v>
      </c>
      <c r="R234" s="30">
        <v>45848</v>
      </c>
    </row>
    <row r="235" spans="17:18" ht="24" customHeight="1" x14ac:dyDescent="0.3">
      <c r="Q235" s="4">
        <v>7</v>
      </c>
      <c r="R235" s="30">
        <v>45849</v>
      </c>
    </row>
    <row r="236" spans="17:18" ht="24" customHeight="1" x14ac:dyDescent="0.3">
      <c r="Q236" s="4">
        <v>7</v>
      </c>
      <c r="R236" s="30">
        <v>45850</v>
      </c>
    </row>
    <row r="237" spans="17:18" ht="24" customHeight="1" x14ac:dyDescent="0.3">
      <c r="Q237" s="4">
        <v>7</v>
      </c>
      <c r="R237" s="30">
        <v>45851</v>
      </c>
    </row>
    <row r="238" spans="17:18" ht="24" customHeight="1" x14ac:dyDescent="0.3">
      <c r="Q238" s="4">
        <v>7</v>
      </c>
      <c r="R238" s="30">
        <v>45852</v>
      </c>
    </row>
    <row r="239" spans="17:18" ht="24" customHeight="1" x14ac:dyDescent="0.3">
      <c r="Q239" s="4">
        <v>7</v>
      </c>
      <c r="R239" s="30">
        <v>45853</v>
      </c>
    </row>
    <row r="240" spans="17:18" ht="24" customHeight="1" x14ac:dyDescent="0.3">
      <c r="Q240" s="4">
        <v>7</v>
      </c>
      <c r="R240" s="30">
        <v>45854</v>
      </c>
    </row>
    <row r="241" spans="17:18" ht="24" customHeight="1" x14ac:dyDescent="0.3">
      <c r="Q241" s="4">
        <v>7</v>
      </c>
      <c r="R241" s="30">
        <v>45855</v>
      </c>
    </row>
    <row r="242" spans="17:18" ht="24" customHeight="1" x14ac:dyDescent="0.3">
      <c r="Q242" s="4">
        <v>7</v>
      </c>
      <c r="R242" s="30">
        <v>45856</v>
      </c>
    </row>
    <row r="243" spans="17:18" ht="24" customHeight="1" x14ac:dyDescent="0.3">
      <c r="Q243" s="4">
        <v>7</v>
      </c>
      <c r="R243" s="30">
        <v>45857</v>
      </c>
    </row>
    <row r="244" spans="17:18" ht="24" customHeight="1" x14ac:dyDescent="0.3">
      <c r="Q244" s="4">
        <v>7</v>
      </c>
      <c r="R244" s="30">
        <v>45858</v>
      </c>
    </row>
    <row r="245" spans="17:18" ht="24" customHeight="1" x14ac:dyDescent="0.3">
      <c r="Q245" s="4">
        <v>7</v>
      </c>
      <c r="R245" s="30">
        <v>45859</v>
      </c>
    </row>
    <row r="246" spans="17:18" ht="24" customHeight="1" x14ac:dyDescent="0.3">
      <c r="Q246" s="4">
        <v>7</v>
      </c>
      <c r="R246" s="30">
        <v>45860</v>
      </c>
    </row>
    <row r="247" spans="17:18" ht="24" customHeight="1" x14ac:dyDescent="0.3">
      <c r="Q247" s="4">
        <v>7</v>
      </c>
      <c r="R247" s="30">
        <v>45861</v>
      </c>
    </row>
    <row r="248" spans="17:18" ht="24" customHeight="1" x14ac:dyDescent="0.3">
      <c r="Q248" s="4">
        <v>7</v>
      </c>
      <c r="R248" s="30">
        <v>45862</v>
      </c>
    </row>
    <row r="249" spans="17:18" ht="24" customHeight="1" x14ac:dyDescent="0.3">
      <c r="Q249" s="4">
        <v>7</v>
      </c>
      <c r="R249" s="30">
        <v>45863</v>
      </c>
    </row>
    <row r="250" spans="17:18" ht="24" customHeight="1" x14ac:dyDescent="0.3">
      <c r="Q250" s="4">
        <v>7</v>
      </c>
      <c r="R250" s="30">
        <v>45864</v>
      </c>
    </row>
    <row r="251" spans="17:18" ht="24" customHeight="1" x14ac:dyDescent="0.3">
      <c r="Q251" s="4">
        <v>7</v>
      </c>
      <c r="R251" s="30">
        <v>45865</v>
      </c>
    </row>
    <row r="252" spans="17:18" ht="24" customHeight="1" x14ac:dyDescent="0.3">
      <c r="Q252" s="4">
        <v>7</v>
      </c>
      <c r="R252" s="30">
        <v>45866</v>
      </c>
    </row>
    <row r="253" spans="17:18" ht="24" customHeight="1" x14ac:dyDescent="0.3">
      <c r="Q253" s="4">
        <v>7</v>
      </c>
      <c r="R253" s="30">
        <v>45867</v>
      </c>
    </row>
    <row r="254" spans="17:18" ht="24" customHeight="1" x14ac:dyDescent="0.3">
      <c r="Q254" s="4">
        <v>7</v>
      </c>
      <c r="R254" s="30">
        <v>45868</v>
      </c>
    </row>
    <row r="255" spans="17:18" ht="24" customHeight="1" x14ac:dyDescent="0.3">
      <c r="Q255" s="4">
        <v>7</v>
      </c>
      <c r="R255" s="30">
        <v>45869</v>
      </c>
    </row>
    <row r="256" spans="17:18" ht="24" customHeight="1" x14ac:dyDescent="0.3">
      <c r="Q256" s="4">
        <v>7</v>
      </c>
      <c r="R256" s="30">
        <v>45870</v>
      </c>
    </row>
    <row r="257" spans="1:18" ht="24" customHeight="1" x14ac:dyDescent="0.3">
      <c r="Q257" s="4">
        <v>7</v>
      </c>
      <c r="R257" s="30">
        <v>45871</v>
      </c>
    </row>
    <row r="258" spans="1:18" ht="24" customHeight="1" x14ac:dyDescent="0.3">
      <c r="Q258" s="4">
        <v>7</v>
      </c>
      <c r="R258" s="30">
        <v>45872</v>
      </c>
    </row>
    <row r="259" spans="1:18" ht="24" customHeight="1" x14ac:dyDescent="0.3">
      <c r="Q259" s="4">
        <v>7</v>
      </c>
      <c r="R259" s="30">
        <v>45873</v>
      </c>
    </row>
    <row r="260" spans="1:18" ht="24" customHeight="1" x14ac:dyDescent="0.3">
      <c r="A260" s="12"/>
      <c r="Q260" s="4">
        <v>7</v>
      </c>
      <c r="R260" s="30">
        <v>45874</v>
      </c>
    </row>
    <row r="261" spans="1:18" ht="24" customHeight="1" x14ac:dyDescent="0.3">
      <c r="A261" s="12"/>
      <c r="Q261" s="4">
        <v>7</v>
      </c>
      <c r="R261" s="30">
        <v>45875</v>
      </c>
    </row>
    <row r="262" spans="1:18" ht="24" customHeight="1" x14ac:dyDescent="0.3">
      <c r="A262" s="12"/>
      <c r="Q262" s="4">
        <v>7</v>
      </c>
      <c r="R262" s="30">
        <v>45876</v>
      </c>
    </row>
    <row r="263" spans="1:18" ht="24" customHeight="1" x14ac:dyDescent="0.3">
      <c r="A263" s="12"/>
      <c r="Q263" s="4">
        <v>8</v>
      </c>
      <c r="R263" s="30">
        <v>45870</v>
      </c>
    </row>
    <row r="264" spans="1:18" ht="24" customHeight="1" x14ac:dyDescent="0.3">
      <c r="A264" s="12"/>
      <c r="Q264" s="4">
        <v>8</v>
      </c>
      <c r="R264" s="30">
        <v>45871</v>
      </c>
    </row>
    <row r="265" spans="1:18" ht="24" customHeight="1" x14ac:dyDescent="0.3">
      <c r="A265" s="12"/>
      <c r="Q265" s="4">
        <v>8</v>
      </c>
      <c r="R265" s="30">
        <v>45872</v>
      </c>
    </row>
    <row r="266" spans="1:18" ht="24" customHeight="1" x14ac:dyDescent="0.3">
      <c r="A266" s="12"/>
      <c r="Q266" s="4">
        <v>8</v>
      </c>
      <c r="R266" s="30">
        <v>45873</v>
      </c>
    </row>
    <row r="267" spans="1:18" ht="24" customHeight="1" x14ac:dyDescent="0.3">
      <c r="A267" s="12"/>
      <c r="Q267" s="4">
        <v>8</v>
      </c>
      <c r="R267" s="30">
        <v>45874</v>
      </c>
    </row>
    <row r="268" spans="1:18" ht="24" customHeight="1" x14ac:dyDescent="0.3">
      <c r="A268" s="12"/>
      <c r="Q268" s="4">
        <v>8</v>
      </c>
      <c r="R268" s="30">
        <v>45875</v>
      </c>
    </row>
    <row r="269" spans="1:18" ht="24" customHeight="1" x14ac:dyDescent="0.3">
      <c r="A269" s="12"/>
      <c r="Q269" s="4">
        <v>8</v>
      </c>
      <c r="R269" s="30">
        <v>45876</v>
      </c>
    </row>
    <row r="270" spans="1:18" ht="24" customHeight="1" x14ac:dyDescent="0.3">
      <c r="A270" s="12"/>
      <c r="Q270" s="4">
        <v>8</v>
      </c>
      <c r="R270" s="30">
        <v>45877</v>
      </c>
    </row>
    <row r="271" spans="1:18" ht="24" customHeight="1" x14ac:dyDescent="0.3">
      <c r="A271" s="12"/>
      <c r="Q271" s="4">
        <v>8</v>
      </c>
      <c r="R271" s="30">
        <v>45878</v>
      </c>
    </row>
    <row r="272" spans="1:18" ht="24" customHeight="1" x14ac:dyDescent="0.3">
      <c r="A272" s="12"/>
      <c r="Q272" s="4">
        <v>8</v>
      </c>
      <c r="R272" s="30">
        <v>45879</v>
      </c>
    </row>
    <row r="273" spans="1:18" ht="24" customHeight="1" x14ac:dyDescent="0.3">
      <c r="A273" s="12"/>
      <c r="Q273" s="4">
        <v>8</v>
      </c>
      <c r="R273" s="30">
        <v>45880</v>
      </c>
    </row>
    <row r="274" spans="1:18" ht="24" customHeight="1" x14ac:dyDescent="0.3">
      <c r="A274" s="12"/>
      <c r="Q274" s="4">
        <v>8</v>
      </c>
      <c r="R274" s="30">
        <v>45881</v>
      </c>
    </row>
    <row r="275" spans="1:18" ht="24" customHeight="1" x14ac:dyDescent="0.3">
      <c r="A275" s="12"/>
      <c r="Q275" s="4">
        <v>8</v>
      </c>
      <c r="R275" s="30">
        <v>45882</v>
      </c>
    </row>
    <row r="276" spans="1:18" ht="24" customHeight="1" x14ac:dyDescent="0.3">
      <c r="A276" s="12"/>
      <c r="Q276" s="4">
        <v>8</v>
      </c>
      <c r="R276" s="30">
        <v>45883</v>
      </c>
    </row>
    <row r="277" spans="1:18" ht="24" customHeight="1" x14ac:dyDescent="0.3">
      <c r="A277" s="12"/>
      <c r="Q277" s="4">
        <v>8</v>
      </c>
      <c r="R277" s="30">
        <v>45884</v>
      </c>
    </row>
    <row r="278" spans="1:18" ht="24" customHeight="1" x14ac:dyDescent="0.3">
      <c r="A278" s="12"/>
      <c r="Q278" s="4">
        <v>8</v>
      </c>
      <c r="R278" s="30">
        <v>45885</v>
      </c>
    </row>
    <row r="279" spans="1:18" ht="24" customHeight="1" x14ac:dyDescent="0.3">
      <c r="A279" s="12"/>
      <c r="Q279" s="4">
        <v>8</v>
      </c>
      <c r="R279" s="30">
        <v>45886</v>
      </c>
    </row>
    <row r="280" spans="1:18" ht="24" customHeight="1" x14ac:dyDescent="0.3">
      <c r="A280" s="12"/>
      <c r="Q280" s="4">
        <v>8</v>
      </c>
      <c r="R280" s="30">
        <v>45887</v>
      </c>
    </row>
    <row r="281" spans="1:18" ht="24" customHeight="1" x14ac:dyDescent="0.3">
      <c r="A281" s="12"/>
      <c r="Q281" s="4">
        <v>8</v>
      </c>
      <c r="R281" s="30">
        <v>45888</v>
      </c>
    </row>
    <row r="282" spans="1:18" ht="24" customHeight="1" x14ac:dyDescent="0.3">
      <c r="A282" s="12"/>
      <c r="Q282" s="4">
        <v>8</v>
      </c>
      <c r="R282" s="30">
        <v>45889</v>
      </c>
    </row>
    <row r="283" spans="1:18" ht="24" customHeight="1" x14ac:dyDescent="0.3">
      <c r="A283" s="12"/>
      <c r="Q283" s="4">
        <v>8</v>
      </c>
      <c r="R283" s="30">
        <v>45890</v>
      </c>
    </row>
    <row r="284" spans="1:18" ht="24" customHeight="1" x14ac:dyDescent="0.3">
      <c r="A284" s="12"/>
      <c r="Q284" s="4">
        <v>8</v>
      </c>
      <c r="R284" s="30">
        <v>45891</v>
      </c>
    </row>
    <row r="285" spans="1:18" ht="24" customHeight="1" x14ac:dyDescent="0.3">
      <c r="A285" s="12"/>
      <c r="Q285" s="4">
        <v>8</v>
      </c>
      <c r="R285" s="30">
        <v>45892</v>
      </c>
    </row>
    <row r="286" spans="1:18" ht="24" customHeight="1" x14ac:dyDescent="0.3">
      <c r="A286" s="12"/>
      <c r="Q286" s="4">
        <v>8</v>
      </c>
      <c r="R286" s="30">
        <v>45893</v>
      </c>
    </row>
    <row r="287" spans="1:18" ht="24" customHeight="1" x14ac:dyDescent="0.3">
      <c r="A287" s="12"/>
      <c r="Q287" s="4">
        <v>8</v>
      </c>
      <c r="R287" s="30">
        <v>45894</v>
      </c>
    </row>
    <row r="288" spans="1:18" ht="24" customHeight="1" x14ac:dyDescent="0.3">
      <c r="A288" s="12"/>
      <c r="Q288" s="4">
        <v>8</v>
      </c>
      <c r="R288" s="30">
        <v>45895</v>
      </c>
    </row>
    <row r="289" spans="1:18" ht="24" customHeight="1" x14ac:dyDescent="0.3">
      <c r="A289" s="12"/>
      <c r="Q289" s="4">
        <v>8</v>
      </c>
      <c r="R289" s="30">
        <v>45896</v>
      </c>
    </row>
    <row r="290" spans="1:18" ht="24" customHeight="1" x14ac:dyDescent="0.3">
      <c r="A290" s="12"/>
      <c r="Q290" s="4">
        <v>8</v>
      </c>
      <c r="R290" s="30">
        <v>45897</v>
      </c>
    </row>
    <row r="291" spans="1:18" ht="24" customHeight="1" x14ac:dyDescent="0.3">
      <c r="A291" s="12"/>
      <c r="Q291" s="4">
        <v>8</v>
      </c>
      <c r="R291" s="30">
        <v>45898</v>
      </c>
    </row>
    <row r="292" spans="1:18" ht="24" customHeight="1" x14ac:dyDescent="0.3">
      <c r="A292" s="12"/>
      <c r="Q292" s="4">
        <v>8</v>
      </c>
      <c r="R292" s="30">
        <v>45899</v>
      </c>
    </row>
    <row r="293" spans="1:18" ht="24" customHeight="1" x14ac:dyDescent="0.3">
      <c r="A293" s="12"/>
      <c r="Q293" s="4">
        <v>8</v>
      </c>
      <c r="R293" s="30">
        <v>45900</v>
      </c>
    </row>
    <row r="294" spans="1:18" ht="24" customHeight="1" x14ac:dyDescent="0.3">
      <c r="A294" s="12"/>
      <c r="Q294" s="4">
        <v>8</v>
      </c>
      <c r="R294" s="30">
        <v>45901</v>
      </c>
    </row>
    <row r="295" spans="1:18" ht="24" customHeight="1" x14ac:dyDescent="0.3">
      <c r="A295" s="12"/>
      <c r="Q295" s="4">
        <v>8</v>
      </c>
      <c r="R295" s="30">
        <v>45902</v>
      </c>
    </row>
    <row r="296" spans="1:18" ht="24" customHeight="1" x14ac:dyDescent="0.3">
      <c r="A296" s="12"/>
      <c r="Q296" s="4">
        <v>8</v>
      </c>
      <c r="R296" s="30">
        <v>45903</v>
      </c>
    </row>
    <row r="297" spans="1:18" ht="24" customHeight="1" x14ac:dyDescent="0.3">
      <c r="A297" s="12"/>
      <c r="Q297" s="4">
        <v>8</v>
      </c>
      <c r="R297" s="30">
        <v>45904</v>
      </c>
    </row>
    <row r="298" spans="1:18" ht="24" customHeight="1" x14ac:dyDescent="0.3">
      <c r="A298" s="12"/>
      <c r="Q298" s="4">
        <v>8</v>
      </c>
      <c r="R298" s="30">
        <v>45905</v>
      </c>
    </row>
    <row r="299" spans="1:18" ht="24" customHeight="1" x14ac:dyDescent="0.3">
      <c r="A299" s="12"/>
      <c r="Q299" s="4">
        <v>8</v>
      </c>
      <c r="R299" s="30">
        <v>45906</v>
      </c>
    </row>
    <row r="300" spans="1:18" ht="24" customHeight="1" x14ac:dyDescent="0.3">
      <c r="A300" s="12"/>
      <c r="Q300" s="4">
        <v>8</v>
      </c>
      <c r="R300" s="30">
        <v>45907</v>
      </c>
    </row>
    <row r="301" spans="1:18" ht="24" customHeight="1" x14ac:dyDescent="0.3">
      <c r="A301" s="12"/>
      <c r="Q301" s="4">
        <v>9</v>
      </c>
      <c r="R301" s="30">
        <v>45901</v>
      </c>
    </row>
    <row r="302" spans="1:18" ht="24" customHeight="1" x14ac:dyDescent="0.3">
      <c r="A302" s="12"/>
      <c r="Q302" s="4">
        <v>9</v>
      </c>
      <c r="R302" s="30">
        <v>45902</v>
      </c>
    </row>
    <row r="303" spans="1:18" ht="24" customHeight="1" x14ac:dyDescent="0.3">
      <c r="A303" s="12"/>
      <c r="Q303" s="4">
        <v>9</v>
      </c>
      <c r="R303" s="30">
        <v>45903</v>
      </c>
    </row>
    <row r="304" spans="1:18" ht="24" customHeight="1" x14ac:dyDescent="0.3">
      <c r="A304" s="12"/>
      <c r="Q304" s="4">
        <v>9</v>
      </c>
      <c r="R304" s="30">
        <v>45904</v>
      </c>
    </row>
    <row r="305" spans="1:18" ht="24" customHeight="1" x14ac:dyDescent="0.3">
      <c r="A305" s="12"/>
      <c r="Q305" s="4">
        <v>9</v>
      </c>
      <c r="R305" s="30">
        <v>45905</v>
      </c>
    </row>
    <row r="306" spans="1:18" ht="24" customHeight="1" x14ac:dyDescent="0.3">
      <c r="A306" s="12"/>
      <c r="Q306" s="4">
        <v>9</v>
      </c>
      <c r="R306" s="30">
        <v>45906</v>
      </c>
    </row>
    <row r="307" spans="1:18" ht="24" customHeight="1" x14ac:dyDescent="0.3">
      <c r="A307" s="12"/>
      <c r="Q307" s="4">
        <v>9</v>
      </c>
      <c r="R307" s="30">
        <v>45907</v>
      </c>
    </row>
    <row r="308" spans="1:18" ht="24" customHeight="1" x14ac:dyDescent="0.3">
      <c r="A308" s="12"/>
      <c r="Q308" s="4">
        <v>9</v>
      </c>
      <c r="R308" s="30">
        <v>45908</v>
      </c>
    </row>
    <row r="309" spans="1:18" ht="24" customHeight="1" x14ac:dyDescent="0.3">
      <c r="A309" s="12"/>
      <c r="Q309" s="4">
        <v>9</v>
      </c>
      <c r="R309" s="30">
        <v>45909</v>
      </c>
    </row>
    <row r="310" spans="1:18" ht="24" customHeight="1" x14ac:dyDescent="0.3">
      <c r="A310" s="12"/>
      <c r="Q310" s="4">
        <v>9</v>
      </c>
      <c r="R310" s="30">
        <v>45910</v>
      </c>
    </row>
    <row r="311" spans="1:18" ht="24" customHeight="1" x14ac:dyDescent="0.3">
      <c r="A311" s="12"/>
      <c r="Q311" s="4">
        <v>9</v>
      </c>
      <c r="R311" s="30">
        <v>45911</v>
      </c>
    </row>
    <row r="312" spans="1:18" ht="24" customHeight="1" x14ac:dyDescent="0.3">
      <c r="A312" s="12"/>
      <c r="Q312" s="4">
        <v>9</v>
      </c>
      <c r="R312" s="30">
        <v>45912</v>
      </c>
    </row>
    <row r="313" spans="1:18" ht="24" customHeight="1" x14ac:dyDescent="0.3">
      <c r="A313" s="12"/>
      <c r="Q313" s="4">
        <v>9</v>
      </c>
      <c r="R313" s="30">
        <v>45913</v>
      </c>
    </row>
    <row r="314" spans="1:18" ht="24" customHeight="1" x14ac:dyDescent="0.3">
      <c r="A314" s="12"/>
      <c r="Q314" s="4">
        <v>9</v>
      </c>
      <c r="R314" s="30">
        <v>45914</v>
      </c>
    </row>
    <row r="315" spans="1:18" ht="24" customHeight="1" x14ac:dyDescent="0.3">
      <c r="A315" s="12"/>
      <c r="Q315" s="4">
        <v>9</v>
      </c>
      <c r="R315" s="30">
        <v>45915</v>
      </c>
    </row>
    <row r="316" spans="1:18" ht="24" customHeight="1" x14ac:dyDescent="0.3">
      <c r="A316" s="12"/>
      <c r="Q316" s="4">
        <v>9</v>
      </c>
      <c r="R316" s="30">
        <v>45916</v>
      </c>
    </row>
    <row r="317" spans="1:18" ht="24" customHeight="1" x14ac:dyDescent="0.3">
      <c r="A317" s="12"/>
      <c r="Q317" s="4">
        <v>9</v>
      </c>
      <c r="R317" s="30">
        <v>45917</v>
      </c>
    </row>
    <row r="318" spans="1:18" ht="24" customHeight="1" x14ac:dyDescent="0.3">
      <c r="A318" s="12"/>
      <c r="Q318" s="4">
        <v>9</v>
      </c>
      <c r="R318" s="30">
        <v>45918</v>
      </c>
    </row>
    <row r="319" spans="1:18" ht="24" customHeight="1" x14ac:dyDescent="0.3">
      <c r="A319" s="12"/>
      <c r="Q319" s="4">
        <v>9</v>
      </c>
      <c r="R319" s="30">
        <v>45919</v>
      </c>
    </row>
    <row r="320" spans="1:18" ht="24" customHeight="1" x14ac:dyDescent="0.3">
      <c r="A320" s="12"/>
      <c r="Q320" s="4">
        <v>9</v>
      </c>
      <c r="R320" s="30">
        <v>45920</v>
      </c>
    </row>
    <row r="321" spans="1:18" ht="24" customHeight="1" x14ac:dyDescent="0.3">
      <c r="A321" s="12"/>
      <c r="Q321" s="4">
        <v>9</v>
      </c>
      <c r="R321" s="30">
        <v>45921</v>
      </c>
    </row>
    <row r="322" spans="1:18" ht="24" customHeight="1" x14ac:dyDescent="0.3">
      <c r="A322" s="12"/>
      <c r="Q322" s="4">
        <v>9</v>
      </c>
      <c r="R322" s="30">
        <v>45922</v>
      </c>
    </row>
    <row r="323" spans="1:18" ht="24" customHeight="1" x14ac:dyDescent="0.3">
      <c r="A323" s="12"/>
      <c r="Q323" s="4">
        <v>9</v>
      </c>
      <c r="R323" s="30">
        <v>45923</v>
      </c>
    </row>
    <row r="324" spans="1:18" ht="24" customHeight="1" x14ac:dyDescent="0.3">
      <c r="A324" s="12"/>
      <c r="Q324" s="4">
        <v>9</v>
      </c>
      <c r="R324" s="30">
        <v>45924</v>
      </c>
    </row>
    <row r="325" spans="1:18" ht="24" customHeight="1" x14ac:dyDescent="0.3">
      <c r="A325" s="12"/>
      <c r="Q325" s="4">
        <v>9</v>
      </c>
      <c r="R325" s="30">
        <v>45925</v>
      </c>
    </row>
    <row r="326" spans="1:18" ht="24" customHeight="1" x14ac:dyDescent="0.3">
      <c r="A326" s="12"/>
      <c r="Q326" s="4">
        <v>9</v>
      </c>
      <c r="R326" s="30">
        <v>45926</v>
      </c>
    </row>
    <row r="327" spans="1:18" ht="24" customHeight="1" x14ac:dyDescent="0.3">
      <c r="A327" s="12"/>
      <c r="Q327" s="4">
        <v>9</v>
      </c>
      <c r="R327" s="30">
        <v>45927</v>
      </c>
    </row>
    <row r="328" spans="1:18" ht="24" customHeight="1" x14ac:dyDescent="0.3">
      <c r="A328" s="12"/>
      <c r="Q328" s="4">
        <v>9</v>
      </c>
      <c r="R328" s="30">
        <v>45928</v>
      </c>
    </row>
    <row r="329" spans="1:18" ht="24" customHeight="1" x14ac:dyDescent="0.3">
      <c r="A329" s="12"/>
      <c r="Q329" s="4">
        <v>9</v>
      </c>
      <c r="R329" s="30">
        <v>45929</v>
      </c>
    </row>
    <row r="330" spans="1:18" ht="24" customHeight="1" x14ac:dyDescent="0.3">
      <c r="A330" s="12"/>
      <c r="Q330" s="4">
        <v>9</v>
      </c>
      <c r="R330" s="30">
        <v>45930</v>
      </c>
    </row>
    <row r="331" spans="1:18" ht="24" customHeight="1" x14ac:dyDescent="0.3">
      <c r="A331" s="12"/>
      <c r="Q331" s="4">
        <v>9</v>
      </c>
      <c r="R331" s="30">
        <v>45931</v>
      </c>
    </row>
    <row r="332" spans="1:18" ht="24" customHeight="1" x14ac:dyDescent="0.3">
      <c r="A332" s="12"/>
      <c r="Q332" s="4">
        <v>9</v>
      </c>
      <c r="R332" s="30">
        <v>45932</v>
      </c>
    </row>
    <row r="333" spans="1:18" ht="24" customHeight="1" x14ac:dyDescent="0.3">
      <c r="A333" s="12"/>
      <c r="Q333" s="4">
        <v>9</v>
      </c>
      <c r="R333" s="30">
        <v>45933</v>
      </c>
    </row>
    <row r="334" spans="1:18" ht="24" customHeight="1" x14ac:dyDescent="0.3">
      <c r="A334" s="12"/>
      <c r="Q334" s="4">
        <v>9</v>
      </c>
      <c r="R334" s="30">
        <v>45934</v>
      </c>
    </row>
    <row r="335" spans="1:18" ht="24" customHeight="1" x14ac:dyDescent="0.3">
      <c r="A335" s="12"/>
      <c r="Q335" s="4">
        <v>9</v>
      </c>
      <c r="R335" s="30">
        <v>45935</v>
      </c>
    </row>
    <row r="336" spans="1:18" ht="24" customHeight="1" x14ac:dyDescent="0.3">
      <c r="A336" s="12"/>
      <c r="Q336" s="4">
        <v>9</v>
      </c>
      <c r="R336" s="30">
        <v>45936</v>
      </c>
    </row>
    <row r="337" spans="1:18" ht="24" customHeight="1" x14ac:dyDescent="0.3">
      <c r="A337" s="12"/>
      <c r="Q337" s="4">
        <v>9</v>
      </c>
      <c r="R337" s="30">
        <v>45937</v>
      </c>
    </row>
    <row r="338" spans="1:18" ht="24" customHeight="1" x14ac:dyDescent="0.3">
      <c r="A338" s="12"/>
      <c r="Q338" s="4">
        <v>10</v>
      </c>
      <c r="R338" s="30">
        <v>45931</v>
      </c>
    </row>
    <row r="339" spans="1:18" ht="24" customHeight="1" x14ac:dyDescent="0.3">
      <c r="A339" s="12"/>
      <c r="Q339" s="4">
        <v>10</v>
      </c>
      <c r="R339" s="30">
        <v>45932</v>
      </c>
    </row>
    <row r="340" spans="1:18" ht="24" customHeight="1" x14ac:dyDescent="0.3">
      <c r="A340" s="12"/>
      <c r="Q340" s="4">
        <v>10</v>
      </c>
      <c r="R340" s="30">
        <v>45933</v>
      </c>
    </row>
    <row r="341" spans="1:18" ht="24" customHeight="1" x14ac:dyDescent="0.3">
      <c r="A341" s="12"/>
      <c r="Q341" s="4">
        <v>10</v>
      </c>
      <c r="R341" s="30">
        <v>45934</v>
      </c>
    </row>
    <row r="342" spans="1:18" ht="24" customHeight="1" x14ac:dyDescent="0.3">
      <c r="A342" s="12"/>
      <c r="Q342" s="4">
        <v>10</v>
      </c>
      <c r="R342" s="30">
        <v>45935</v>
      </c>
    </row>
    <row r="343" spans="1:18" ht="24" customHeight="1" x14ac:dyDescent="0.3">
      <c r="A343" s="12"/>
      <c r="Q343" s="4">
        <v>10</v>
      </c>
      <c r="R343" s="30">
        <v>45936</v>
      </c>
    </row>
    <row r="344" spans="1:18" ht="24" customHeight="1" x14ac:dyDescent="0.3">
      <c r="A344" s="12"/>
      <c r="Q344" s="4">
        <v>10</v>
      </c>
      <c r="R344" s="30">
        <v>45937</v>
      </c>
    </row>
    <row r="345" spans="1:18" ht="24" customHeight="1" x14ac:dyDescent="0.3">
      <c r="A345" s="12"/>
      <c r="Q345" s="4">
        <v>10</v>
      </c>
      <c r="R345" s="30">
        <v>45938</v>
      </c>
    </row>
    <row r="346" spans="1:18" ht="24" customHeight="1" x14ac:dyDescent="0.3">
      <c r="A346" s="12"/>
      <c r="Q346" s="4">
        <v>10</v>
      </c>
      <c r="R346" s="30">
        <v>45939</v>
      </c>
    </row>
    <row r="347" spans="1:18" ht="24" customHeight="1" x14ac:dyDescent="0.3">
      <c r="A347" s="12"/>
      <c r="Q347" s="4">
        <v>10</v>
      </c>
      <c r="R347" s="30">
        <v>45940</v>
      </c>
    </row>
    <row r="348" spans="1:18" ht="24" customHeight="1" x14ac:dyDescent="0.3">
      <c r="A348" s="12"/>
      <c r="Q348" s="4">
        <v>10</v>
      </c>
      <c r="R348" s="30">
        <v>45941</v>
      </c>
    </row>
    <row r="349" spans="1:18" ht="24" customHeight="1" x14ac:dyDescent="0.3">
      <c r="A349" s="12"/>
      <c r="Q349" s="4">
        <v>10</v>
      </c>
      <c r="R349" s="30">
        <v>45942</v>
      </c>
    </row>
    <row r="350" spans="1:18" ht="24" customHeight="1" x14ac:dyDescent="0.3">
      <c r="A350" s="12"/>
      <c r="Q350" s="4">
        <v>10</v>
      </c>
      <c r="R350" s="30">
        <v>45943</v>
      </c>
    </row>
    <row r="351" spans="1:18" ht="24" customHeight="1" x14ac:dyDescent="0.3">
      <c r="A351" s="12"/>
      <c r="Q351" s="4">
        <v>10</v>
      </c>
      <c r="R351" s="30">
        <v>45944</v>
      </c>
    </row>
    <row r="352" spans="1:18" ht="24" customHeight="1" x14ac:dyDescent="0.3">
      <c r="A352" s="12"/>
      <c r="Q352" s="4">
        <v>10</v>
      </c>
      <c r="R352" s="30">
        <v>45945</v>
      </c>
    </row>
    <row r="353" spans="1:18" ht="24" customHeight="1" x14ac:dyDescent="0.3">
      <c r="A353" s="12"/>
      <c r="Q353" s="4">
        <v>10</v>
      </c>
      <c r="R353" s="30">
        <v>45946</v>
      </c>
    </row>
    <row r="354" spans="1:18" ht="24" customHeight="1" x14ac:dyDescent="0.3">
      <c r="A354" s="12"/>
      <c r="Q354" s="4">
        <v>10</v>
      </c>
      <c r="R354" s="30">
        <v>45947</v>
      </c>
    </row>
    <row r="355" spans="1:18" ht="24" customHeight="1" x14ac:dyDescent="0.3">
      <c r="A355" s="12"/>
      <c r="Q355" s="4">
        <v>10</v>
      </c>
      <c r="R355" s="30">
        <v>45948</v>
      </c>
    </row>
    <row r="356" spans="1:18" ht="24" customHeight="1" x14ac:dyDescent="0.3">
      <c r="A356" s="12"/>
      <c r="Q356" s="4">
        <v>10</v>
      </c>
      <c r="R356" s="30">
        <v>45949</v>
      </c>
    </row>
    <row r="357" spans="1:18" ht="24" customHeight="1" x14ac:dyDescent="0.3">
      <c r="A357" s="12"/>
      <c r="Q357" s="4">
        <v>10</v>
      </c>
      <c r="R357" s="30">
        <v>45950</v>
      </c>
    </row>
    <row r="358" spans="1:18" ht="24" customHeight="1" x14ac:dyDescent="0.3">
      <c r="A358" s="12"/>
      <c r="Q358" s="4">
        <v>10</v>
      </c>
      <c r="R358" s="30">
        <v>45951</v>
      </c>
    </row>
    <row r="359" spans="1:18" ht="24" customHeight="1" x14ac:dyDescent="0.3">
      <c r="A359" s="12"/>
      <c r="Q359" s="4">
        <v>10</v>
      </c>
      <c r="R359" s="30">
        <v>45952</v>
      </c>
    </row>
    <row r="360" spans="1:18" ht="24" customHeight="1" x14ac:dyDescent="0.3">
      <c r="A360" s="12"/>
      <c r="Q360" s="4">
        <v>10</v>
      </c>
      <c r="R360" s="30">
        <v>45953</v>
      </c>
    </row>
    <row r="361" spans="1:18" ht="24" customHeight="1" x14ac:dyDescent="0.3">
      <c r="A361" s="12"/>
      <c r="Q361" s="4">
        <v>10</v>
      </c>
      <c r="R361" s="30">
        <v>45954</v>
      </c>
    </row>
    <row r="362" spans="1:18" ht="24" customHeight="1" x14ac:dyDescent="0.3">
      <c r="A362" s="12"/>
      <c r="Q362" s="4">
        <v>10</v>
      </c>
      <c r="R362" s="30">
        <v>45955</v>
      </c>
    </row>
    <row r="363" spans="1:18" ht="24" customHeight="1" x14ac:dyDescent="0.3">
      <c r="A363" s="12"/>
      <c r="Q363" s="4">
        <v>10</v>
      </c>
      <c r="R363" s="30">
        <v>45956</v>
      </c>
    </row>
    <row r="364" spans="1:18" ht="24" customHeight="1" x14ac:dyDescent="0.3">
      <c r="A364" s="12"/>
      <c r="Q364" s="4">
        <v>10</v>
      </c>
      <c r="R364" s="30">
        <v>45957</v>
      </c>
    </row>
    <row r="365" spans="1:18" ht="24" customHeight="1" x14ac:dyDescent="0.3">
      <c r="A365" s="12"/>
      <c r="Q365" s="4">
        <v>10</v>
      </c>
      <c r="R365" s="30">
        <v>45958</v>
      </c>
    </row>
    <row r="366" spans="1:18" ht="24" customHeight="1" x14ac:dyDescent="0.3">
      <c r="Q366" s="4">
        <v>10</v>
      </c>
      <c r="R366" s="30">
        <v>45959</v>
      </c>
    </row>
    <row r="367" spans="1:18" ht="24" customHeight="1" x14ac:dyDescent="0.3">
      <c r="Q367" s="4">
        <v>10</v>
      </c>
      <c r="R367" s="30">
        <v>45960</v>
      </c>
    </row>
    <row r="368" spans="1:18" ht="24" customHeight="1" x14ac:dyDescent="0.3">
      <c r="Q368" s="4">
        <v>10</v>
      </c>
      <c r="R368" s="30">
        <v>45961</v>
      </c>
    </row>
    <row r="369" spans="17:18" ht="24" customHeight="1" x14ac:dyDescent="0.3">
      <c r="Q369" s="4">
        <v>10</v>
      </c>
      <c r="R369" s="30">
        <v>45962</v>
      </c>
    </row>
    <row r="370" spans="17:18" ht="24" customHeight="1" x14ac:dyDescent="0.3">
      <c r="Q370" s="4">
        <v>10</v>
      </c>
      <c r="R370" s="30">
        <v>45963</v>
      </c>
    </row>
    <row r="371" spans="17:18" ht="24" customHeight="1" x14ac:dyDescent="0.3">
      <c r="Q371" s="4">
        <v>10</v>
      </c>
      <c r="R371" s="30">
        <v>45964</v>
      </c>
    </row>
    <row r="372" spans="17:18" ht="24" customHeight="1" x14ac:dyDescent="0.3">
      <c r="Q372" s="4">
        <v>10</v>
      </c>
      <c r="R372" s="30">
        <v>45965</v>
      </c>
    </row>
    <row r="373" spans="17:18" ht="24" customHeight="1" x14ac:dyDescent="0.3">
      <c r="Q373" s="4">
        <v>10</v>
      </c>
      <c r="R373" s="30">
        <v>45966</v>
      </c>
    </row>
    <row r="374" spans="17:18" ht="24" customHeight="1" x14ac:dyDescent="0.3">
      <c r="Q374" s="4">
        <v>10</v>
      </c>
      <c r="R374" s="30">
        <v>45967</v>
      </c>
    </row>
    <row r="375" spans="17:18" ht="24" customHeight="1" x14ac:dyDescent="0.3">
      <c r="Q375" s="4">
        <v>10</v>
      </c>
      <c r="R375" s="30">
        <v>45968</v>
      </c>
    </row>
    <row r="376" spans="17:18" ht="24" customHeight="1" x14ac:dyDescent="0.3">
      <c r="Q376" s="4">
        <v>11</v>
      </c>
      <c r="R376" s="30">
        <v>45962</v>
      </c>
    </row>
    <row r="377" spans="17:18" ht="24" customHeight="1" x14ac:dyDescent="0.3">
      <c r="Q377" s="4">
        <v>11</v>
      </c>
      <c r="R377" s="30">
        <v>45963</v>
      </c>
    </row>
    <row r="378" spans="17:18" ht="24" customHeight="1" x14ac:dyDescent="0.3">
      <c r="Q378" s="4">
        <v>11</v>
      </c>
      <c r="R378" s="30">
        <v>45964</v>
      </c>
    </row>
    <row r="379" spans="17:18" ht="24" customHeight="1" x14ac:dyDescent="0.3">
      <c r="Q379" s="4">
        <v>11</v>
      </c>
      <c r="R379" s="30">
        <v>45965</v>
      </c>
    </row>
    <row r="380" spans="17:18" ht="24" customHeight="1" x14ac:dyDescent="0.3">
      <c r="Q380" s="4">
        <v>11</v>
      </c>
      <c r="R380" s="30">
        <v>45966</v>
      </c>
    </row>
    <row r="381" spans="17:18" ht="24" customHeight="1" x14ac:dyDescent="0.3">
      <c r="Q381" s="4">
        <v>11</v>
      </c>
      <c r="R381" s="30">
        <v>45967</v>
      </c>
    </row>
    <row r="382" spans="17:18" ht="24" customHeight="1" x14ac:dyDescent="0.3">
      <c r="Q382" s="4">
        <v>11</v>
      </c>
      <c r="R382" s="30">
        <v>45968</v>
      </c>
    </row>
    <row r="383" spans="17:18" ht="24" customHeight="1" x14ac:dyDescent="0.3">
      <c r="Q383" s="4">
        <v>11</v>
      </c>
      <c r="R383" s="30">
        <v>45969</v>
      </c>
    </row>
    <row r="384" spans="17:18" ht="24" customHeight="1" x14ac:dyDescent="0.3">
      <c r="Q384" s="4">
        <v>11</v>
      </c>
      <c r="R384" s="30">
        <v>45970</v>
      </c>
    </row>
    <row r="385" spans="17:18" ht="24" customHeight="1" x14ac:dyDescent="0.3">
      <c r="Q385" s="4">
        <v>11</v>
      </c>
      <c r="R385" s="30">
        <v>45971</v>
      </c>
    </row>
    <row r="386" spans="17:18" ht="24" customHeight="1" x14ac:dyDescent="0.3">
      <c r="Q386" s="4">
        <v>11</v>
      </c>
      <c r="R386" s="30">
        <v>45972</v>
      </c>
    </row>
    <row r="387" spans="17:18" ht="24" customHeight="1" x14ac:dyDescent="0.3">
      <c r="Q387" s="4">
        <v>11</v>
      </c>
      <c r="R387" s="30">
        <v>45973</v>
      </c>
    </row>
    <row r="388" spans="17:18" ht="24" customHeight="1" x14ac:dyDescent="0.3">
      <c r="Q388" s="4">
        <v>11</v>
      </c>
      <c r="R388" s="30">
        <v>45974</v>
      </c>
    </row>
    <row r="389" spans="17:18" ht="24" customHeight="1" x14ac:dyDescent="0.3">
      <c r="Q389" s="4">
        <v>11</v>
      </c>
      <c r="R389" s="30">
        <v>45975</v>
      </c>
    </row>
    <row r="390" spans="17:18" ht="24" customHeight="1" x14ac:dyDescent="0.3">
      <c r="Q390" s="4">
        <v>11</v>
      </c>
      <c r="R390" s="30">
        <v>45976</v>
      </c>
    </row>
    <row r="391" spans="17:18" ht="24" customHeight="1" x14ac:dyDescent="0.3">
      <c r="Q391" s="4">
        <v>11</v>
      </c>
      <c r="R391" s="30">
        <v>45977</v>
      </c>
    </row>
    <row r="392" spans="17:18" ht="24" customHeight="1" x14ac:dyDescent="0.3">
      <c r="Q392" s="4">
        <v>11</v>
      </c>
      <c r="R392" s="30">
        <v>45978</v>
      </c>
    </row>
    <row r="393" spans="17:18" ht="24" customHeight="1" x14ac:dyDescent="0.3">
      <c r="Q393" s="4">
        <v>11</v>
      </c>
      <c r="R393" s="30">
        <v>45979</v>
      </c>
    </row>
    <row r="394" spans="17:18" ht="24" customHeight="1" x14ac:dyDescent="0.3">
      <c r="Q394" s="4">
        <v>11</v>
      </c>
      <c r="R394" s="30">
        <v>45980</v>
      </c>
    </row>
    <row r="395" spans="17:18" ht="24" customHeight="1" x14ac:dyDescent="0.3">
      <c r="Q395" s="4">
        <v>11</v>
      </c>
      <c r="R395" s="30">
        <v>45981</v>
      </c>
    </row>
    <row r="396" spans="17:18" ht="24" customHeight="1" x14ac:dyDescent="0.3">
      <c r="Q396" s="4">
        <v>11</v>
      </c>
      <c r="R396" s="30">
        <v>45982</v>
      </c>
    </row>
    <row r="397" spans="17:18" ht="24" customHeight="1" x14ac:dyDescent="0.3">
      <c r="Q397" s="4">
        <v>11</v>
      </c>
      <c r="R397" s="30">
        <v>45983</v>
      </c>
    </row>
    <row r="398" spans="17:18" ht="24" customHeight="1" x14ac:dyDescent="0.3">
      <c r="Q398" s="4">
        <v>11</v>
      </c>
      <c r="R398" s="30">
        <v>45984</v>
      </c>
    </row>
    <row r="399" spans="17:18" ht="24" customHeight="1" x14ac:dyDescent="0.3">
      <c r="Q399" s="4">
        <v>11</v>
      </c>
      <c r="R399" s="30">
        <v>45985</v>
      </c>
    </row>
    <row r="400" spans="17:18" ht="24" customHeight="1" x14ac:dyDescent="0.3">
      <c r="Q400" s="4">
        <v>11</v>
      </c>
      <c r="R400" s="30">
        <v>45986</v>
      </c>
    </row>
    <row r="401" spans="17:18" ht="24" customHeight="1" x14ac:dyDescent="0.3">
      <c r="Q401" s="4">
        <v>11</v>
      </c>
      <c r="R401" s="30">
        <v>45987</v>
      </c>
    </row>
    <row r="402" spans="17:18" ht="24" customHeight="1" x14ac:dyDescent="0.3">
      <c r="Q402" s="4">
        <v>11</v>
      </c>
      <c r="R402" s="30">
        <v>45988</v>
      </c>
    </row>
    <row r="403" spans="17:18" ht="24" customHeight="1" x14ac:dyDescent="0.3">
      <c r="Q403" s="4">
        <v>11</v>
      </c>
      <c r="R403" s="30">
        <v>45989</v>
      </c>
    </row>
    <row r="404" spans="17:18" ht="24" customHeight="1" x14ac:dyDescent="0.3">
      <c r="Q404" s="4">
        <v>11</v>
      </c>
      <c r="R404" s="30">
        <v>45990</v>
      </c>
    </row>
    <row r="405" spans="17:18" ht="24" customHeight="1" x14ac:dyDescent="0.3">
      <c r="Q405" s="4">
        <v>11</v>
      </c>
      <c r="R405" s="30">
        <v>45991</v>
      </c>
    </row>
    <row r="406" spans="17:18" ht="24" customHeight="1" x14ac:dyDescent="0.3">
      <c r="Q406" s="4">
        <v>11</v>
      </c>
      <c r="R406" s="30">
        <v>45992</v>
      </c>
    </row>
    <row r="407" spans="17:18" ht="24" customHeight="1" x14ac:dyDescent="0.3">
      <c r="Q407" s="4">
        <v>11</v>
      </c>
      <c r="R407" s="30">
        <v>45993</v>
      </c>
    </row>
    <row r="408" spans="17:18" ht="24" customHeight="1" x14ac:dyDescent="0.3">
      <c r="Q408" s="4">
        <v>11</v>
      </c>
      <c r="R408" s="30">
        <v>45994</v>
      </c>
    </row>
    <row r="409" spans="17:18" ht="24" customHeight="1" x14ac:dyDescent="0.3">
      <c r="Q409" s="4">
        <v>11</v>
      </c>
      <c r="R409" s="30">
        <v>45995</v>
      </c>
    </row>
    <row r="410" spans="17:18" ht="24" customHeight="1" x14ac:dyDescent="0.3">
      <c r="Q410" s="4">
        <v>11</v>
      </c>
      <c r="R410" s="30">
        <v>45996</v>
      </c>
    </row>
    <row r="411" spans="17:18" ht="24" customHeight="1" x14ac:dyDescent="0.3">
      <c r="Q411" s="4">
        <v>11</v>
      </c>
      <c r="R411" s="30">
        <v>45997</v>
      </c>
    </row>
    <row r="412" spans="17:18" ht="24" customHeight="1" x14ac:dyDescent="0.3">
      <c r="Q412" s="4">
        <v>11</v>
      </c>
      <c r="R412" s="30">
        <v>45998</v>
      </c>
    </row>
    <row r="413" spans="17:18" ht="24" customHeight="1" x14ac:dyDescent="0.3">
      <c r="Q413" s="4">
        <v>12</v>
      </c>
      <c r="R413" s="30">
        <v>45992</v>
      </c>
    </row>
    <row r="414" spans="17:18" ht="24" customHeight="1" x14ac:dyDescent="0.3">
      <c r="Q414" s="4">
        <v>12</v>
      </c>
      <c r="R414" s="30">
        <v>45993</v>
      </c>
    </row>
    <row r="415" spans="17:18" ht="24" customHeight="1" x14ac:dyDescent="0.3">
      <c r="Q415" s="4">
        <v>12</v>
      </c>
      <c r="R415" s="30">
        <v>45994</v>
      </c>
    </row>
    <row r="416" spans="17:18" ht="24" customHeight="1" x14ac:dyDescent="0.3">
      <c r="Q416" s="4">
        <v>12</v>
      </c>
      <c r="R416" s="30">
        <v>45995</v>
      </c>
    </row>
    <row r="417" spans="17:18" ht="24" customHeight="1" x14ac:dyDescent="0.3">
      <c r="Q417" s="4">
        <v>12</v>
      </c>
      <c r="R417" s="30">
        <v>45996</v>
      </c>
    </row>
    <row r="418" spans="17:18" ht="24" customHeight="1" x14ac:dyDescent="0.3">
      <c r="Q418" s="4">
        <v>12</v>
      </c>
      <c r="R418" s="30">
        <v>45997</v>
      </c>
    </row>
    <row r="419" spans="17:18" ht="24" customHeight="1" x14ac:dyDescent="0.3">
      <c r="Q419" s="4">
        <v>12</v>
      </c>
      <c r="R419" s="30">
        <v>45998</v>
      </c>
    </row>
    <row r="420" spans="17:18" ht="24" customHeight="1" x14ac:dyDescent="0.3">
      <c r="Q420" s="4">
        <v>12</v>
      </c>
      <c r="R420" s="30">
        <v>45999</v>
      </c>
    </row>
    <row r="421" spans="17:18" ht="24" customHeight="1" x14ac:dyDescent="0.3">
      <c r="Q421" s="4">
        <v>12</v>
      </c>
      <c r="R421" s="30">
        <v>46000</v>
      </c>
    </row>
    <row r="422" spans="17:18" ht="24" customHeight="1" x14ac:dyDescent="0.3">
      <c r="Q422" s="4">
        <v>12</v>
      </c>
      <c r="R422" s="30">
        <v>46001</v>
      </c>
    </row>
    <row r="423" spans="17:18" ht="24" customHeight="1" x14ac:dyDescent="0.3">
      <c r="Q423" s="4">
        <v>12</v>
      </c>
      <c r="R423" s="30">
        <v>46002</v>
      </c>
    </row>
    <row r="424" spans="17:18" ht="24" customHeight="1" x14ac:dyDescent="0.3">
      <c r="Q424" s="4">
        <v>12</v>
      </c>
      <c r="R424" s="30">
        <v>46003</v>
      </c>
    </row>
    <row r="425" spans="17:18" ht="24" customHeight="1" x14ac:dyDescent="0.3">
      <c r="Q425" s="4">
        <v>12</v>
      </c>
      <c r="R425" s="30">
        <v>46004</v>
      </c>
    </row>
    <row r="426" spans="17:18" ht="24" customHeight="1" x14ac:dyDescent="0.3">
      <c r="Q426" s="4">
        <v>12</v>
      </c>
      <c r="R426" s="30">
        <v>46005</v>
      </c>
    </row>
    <row r="427" spans="17:18" ht="24" customHeight="1" x14ac:dyDescent="0.3">
      <c r="Q427" s="4">
        <v>12</v>
      </c>
      <c r="R427" s="30">
        <v>46006</v>
      </c>
    </row>
    <row r="428" spans="17:18" ht="24" customHeight="1" x14ac:dyDescent="0.3">
      <c r="Q428" s="4">
        <v>12</v>
      </c>
      <c r="R428" s="30">
        <v>46007</v>
      </c>
    </row>
    <row r="429" spans="17:18" ht="24" customHeight="1" x14ac:dyDescent="0.3">
      <c r="Q429" s="4">
        <v>12</v>
      </c>
      <c r="R429" s="30">
        <v>46008</v>
      </c>
    </row>
    <row r="430" spans="17:18" ht="24" customHeight="1" x14ac:dyDescent="0.3">
      <c r="Q430" s="4">
        <v>12</v>
      </c>
      <c r="R430" s="30">
        <v>46009</v>
      </c>
    </row>
    <row r="431" spans="17:18" ht="24" customHeight="1" x14ac:dyDescent="0.3">
      <c r="Q431" s="4">
        <v>12</v>
      </c>
      <c r="R431" s="30">
        <v>46010</v>
      </c>
    </row>
    <row r="432" spans="17:18" ht="24" customHeight="1" x14ac:dyDescent="0.3">
      <c r="Q432" s="4">
        <v>12</v>
      </c>
      <c r="R432" s="30">
        <v>46011</v>
      </c>
    </row>
    <row r="433" spans="17:18" ht="24" customHeight="1" x14ac:dyDescent="0.3">
      <c r="Q433" s="4">
        <v>12</v>
      </c>
      <c r="R433" s="30">
        <v>46012</v>
      </c>
    </row>
    <row r="434" spans="17:18" ht="24" customHeight="1" x14ac:dyDescent="0.3">
      <c r="Q434" s="4">
        <v>12</v>
      </c>
      <c r="R434" s="30">
        <v>46013</v>
      </c>
    </row>
    <row r="435" spans="17:18" ht="24" customHeight="1" x14ac:dyDescent="0.3">
      <c r="Q435" s="4">
        <v>12</v>
      </c>
      <c r="R435" s="30">
        <v>46014</v>
      </c>
    </row>
    <row r="436" spans="17:18" ht="24" customHeight="1" x14ac:dyDescent="0.3">
      <c r="Q436" s="4">
        <v>12</v>
      </c>
      <c r="R436" s="30">
        <v>46015</v>
      </c>
    </row>
    <row r="437" spans="17:18" ht="24" customHeight="1" x14ac:dyDescent="0.3">
      <c r="Q437" s="4">
        <v>12</v>
      </c>
      <c r="R437" s="30">
        <v>46016</v>
      </c>
    </row>
    <row r="438" spans="17:18" ht="24" customHeight="1" x14ac:dyDescent="0.3">
      <c r="Q438" s="4">
        <v>12</v>
      </c>
      <c r="R438" s="30">
        <v>46017</v>
      </c>
    </row>
    <row r="439" spans="17:18" ht="24" customHeight="1" x14ac:dyDescent="0.3">
      <c r="Q439" s="4">
        <v>12</v>
      </c>
      <c r="R439" s="30">
        <v>46018</v>
      </c>
    </row>
    <row r="440" spans="17:18" ht="24" customHeight="1" x14ac:dyDescent="0.3">
      <c r="Q440" s="4">
        <v>12</v>
      </c>
      <c r="R440" s="30">
        <v>46019</v>
      </c>
    </row>
    <row r="441" spans="17:18" ht="24" customHeight="1" x14ac:dyDescent="0.3">
      <c r="Q441" s="4">
        <v>12</v>
      </c>
      <c r="R441" s="30">
        <v>46020</v>
      </c>
    </row>
    <row r="442" spans="17:18" ht="24" customHeight="1" x14ac:dyDescent="0.3">
      <c r="Q442" s="4">
        <v>12</v>
      </c>
      <c r="R442" s="30">
        <v>46021</v>
      </c>
    </row>
    <row r="443" spans="17:18" ht="24" customHeight="1" x14ac:dyDescent="0.3">
      <c r="Q443" s="4">
        <v>12</v>
      </c>
      <c r="R443" s="30">
        <v>46022</v>
      </c>
    </row>
    <row r="444" spans="17:18" ht="24" customHeight="1" x14ac:dyDescent="0.3">
      <c r="Q444" s="4">
        <v>12</v>
      </c>
      <c r="R444" s="30">
        <v>46023</v>
      </c>
    </row>
    <row r="445" spans="17:18" ht="24" customHeight="1" x14ac:dyDescent="0.3">
      <c r="Q445" s="4">
        <v>12</v>
      </c>
      <c r="R445" s="30">
        <v>46024</v>
      </c>
    </row>
    <row r="446" spans="17:18" ht="24" customHeight="1" x14ac:dyDescent="0.3">
      <c r="Q446" s="4">
        <v>12</v>
      </c>
      <c r="R446" s="30">
        <v>46025</v>
      </c>
    </row>
    <row r="447" spans="17:18" ht="24" customHeight="1" x14ac:dyDescent="0.3">
      <c r="Q447" s="4">
        <v>12</v>
      </c>
      <c r="R447" s="30">
        <v>46026</v>
      </c>
    </row>
    <row r="448" spans="17:18" ht="24" customHeight="1" x14ac:dyDescent="0.3">
      <c r="Q448" s="4">
        <v>12</v>
      </c>
      <c r="R448" s="30">
        <v>46027</v>
      </c>
    </row>
    <row r="449" spans="17:18" ht="24" customHeight="1" x14ac:dyDescent="0.3">
      <c r="Q449" s="4">
        <v>12</v>
      </c>
      <c r="R449" s="30">
        <v>46028</v>
      </c>
    </row>
    <row r="450" spans="17:18" ht="24" customHeight="1" x14ac:dyDescent="0.3">
      <c r="Q450" s="4">
        <v>12</v>
      </c>
      <c r="R450" s="30">
        <v>46029</v>
      </c>
    </row>
    <row r="451" spans="17:18" ht="24" customHeight="1" x14ac:dyDescent="0.3"/>
  </sheetData>
  <autoFilter ref="H1:K99" xr:uid="{A02A95E4-E9B9-4254-9068-E46B70FE7D4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105</vt:i4>
      </vt:variant>
    </vt:vector>
  </HeadingPairs>
  <TitlesOfParts>
    <vt:vector size="107" baseType="lpstr">
      <vt:lpstr>Alimentación</vt:lpstr>
      <vt:lpstr>Transporte</vt:lpstr>
      <vt:lpstr>_1</vt:lpstr>
      <vt:lpstr>_10</vt:lpstr>
      <vt:lpstr>_11</vt:lpstr>
      <vt:lpstr>_12</vt:lpstr>
      <vt:lpstr>_2</vt:lpstr>
      <vt:lpstr>_3</vt:lpstr>
      <vt:lpstr>_4</vt:lpstr>
      <vt:lpstr>_5</vt:lpstr>
      <vt:lpstr>_6</vt:lpstr>
      <vt:lpstr>_7</vt:lpstr>
      <vt:lpstr>_8</vt:lpstr>
      <vt:lpstr>_9</vt:lpstr>
      <vt:lpstr>Abastecimiento</vt:lpstr>
      <vt:lpstr>Administrativo</vt:lpstr>
      <vt:lpstr>Almacén</vt:lpstr>
      <vt:lpstr>Analista Administrativo</vt:lpstr>
      <vt:lpstr>Analista de Abastecimiento</vt:lpstr>
      <vt:lpstr>Analista de Comercio Exterior</vt:lpstr>
      <vt:lpstr>Analista de Gestión Humana</vt:lpstr>
      <vt:lpstr>Analista de Impuestos</vt:lpstr>
      <vt:lpstr>Analista de Inventarios</vt:lpstr>
      <vt:lpstr>Analista de Laboratorio</vt:lpstr>
      <vt:lpstr>Analista de Mantenimiento</vt:lpstr>
      <vt:lpstr>Analista de Mejoramiento Continuo</vt:lpstr>
      <vt:lpstr>Analista HSEQ</vt:lpstr>
      <vt:lpstr>Analista Tesorería</vt:lpstr>
      <vt:lpstr>Aprendiz Contabilidad y Tesorería</vt:lpstr>
      <vt:lpstr>Aprendiz Documentación</vt:lpstr>
      <vt:lpstr>Aprendiz Eléctrico</vt:lpstr>
      <vt:lpstr>Aprendiz Servicios Industriales OSBL</vt:lpstr>
      <vt:lpstr>Aprendiz Soldadura</vt:lpstr>
      <vt:lpstr>Asistente Administrativa</vt:lpstr>
      <vt:lpstr>Asistente de Abastecimiento</vt:lpstr>
      <vt:lpstr>Asistente de Contabilidad</vt:lpstr>
      <vt:lpstr>Asistente de Gestión Humana</vt:lpstr>
      <vt:lpstr>Asistente Documentación</vt:lpstr>
      <vt:lpstr>Asistente Logístico</vt:lpstr>
      <vt:lpstr>Asistente TIC</vt:lpstr>
      <vt:lpstr>Auxiliar de Almacén</vt:lpstr>
      <vt:lpstr>Auxiliar de Contabilidad</vt:lpstr>
      <vt:lpstr>Auxiliar de Mantenimiento Mecánico</vt:lpstr>
      <vt:lpstr>Auxiliar de Servicios Generales</vt:lpstr>
      <vt:lpstr>Auxiliar Financiero</vt:lpstr>
      <vt:lpstr>Auxiliar HSEQ</vt:lpstr>
      <vt:lpstr>Auxiliar ISBL</vt:lpstr>
      <vt:lpstr>Auxiliar Servicios Generales Administrativo</vt:lpstr>
      <vt:lpstr>Comercial</vt:lpstr>
      <vt:lpstr>Comercio Exterior</vt:lpstr>
      <vt:lpstr>Conductor de Presidencia</vt:lpstr>
      <vt:lpstr>Contabilidad</vt:lpstr>
      <vt:lpstr>Control Interno</vt:lpstr>
      <vt:lpstr>Coordinador Comercial</vt:lpstr>
      <vt:lpstr>Coordinador de Mantenimiento Eléctrico</vt:lpstr>
      <vt:lpstr>Coordinador de Mantenimiento Mecánico</vt:lpstr>
      <vt:lpstr>Coordinador de Producción</vt:lpstr>
      <vt:lpstr>Coordinadora Control Interno</vt:lpstr>
      <vt:lpstr>Coordinadora de Aseguramiento de Calidad</vt:lpstr>
      <vt:lpstr>Dir. Abastecimiento y Comercialización</vt:lpstr>
      <vt:lpstr>Dir. de Planta</vt:lpstr>
      <vt:lpstr>Dir. Financiera y Administrativa</vt:lpstr>
      <vt:lpstr>Dir. Laboratorio y SIG</vt:lpstr>
      <vt:lpstr>Dirección Abastecimiento y Comercialización</vt:lpstr>
      <vt:lpstr>Dirección de Planta</vt:lpstr>
      <vt:lpstr>Dirección Financiera y Administrativa</vt:lpstr>
      <vt:lpstr>Dirección Laboratorio y SIG</vt:lpstr>
      <vt:lpstr>Direcciones</vt:lpstr>
      <vt:lpstr>Director de Laboratorio y SIG</vt:lpstr>
      <vt:lpstr>Director de Planta</vt:lpstr>
      <vt:lpstr>Director Financiero y Administrativo</vt:lpstr>
      <vt:lpstr>Directora de Abastecimiento y Comercialización</vt:lpstr>
      <vt:lpstr>Gestión Documental</vt:lpstr>
      <vt:lpstr>Gestión Humana</vt:lpstr>
      <vt:lpstr>HSEQ</vt:lpstr>
      <vt:lpstr>Jefe de Comercio Exterior e Inventarios</vt:lpstr>
      <vt:lpstr>Jefe de Contabilidad</vt:lpstr>
      <vt:lpstr>Jefe de Control de Calidad</vt:lpstr>
      <vt:lpstr>Jefe de Gestión Humana y Administrativo</vt:lpstr>
      <vt:lpstr>Jefe de Logística</vt:lpstr>
      <vt:lpstr>Jefe de Mantenimiento</vt:lpstr>
      <vt:lpstr>Jefe de Operación de Producción</vt:lpstr>
      <vt:lpstr>Jefe de Planeación Financiera</vt:lpstr>
      <vt:lpstr>Jefe de Planeación y Mejoras de Producción</vt:lpstr>
      <vt:lpstr>Jefe de Proyectos y Servicios Industriales</vt:lpstr>
      <vt:lpstr>Jefe de Tesorería</vt:lpstr>
      <vt:lpstr>Jefe HSEQ</vt:lpstr>
      <vt:lpstr>Jefe TIC</vt:lpstr>
      <vt:lpstr>Laboratorio</vt:lpstr>
      <vt:lpstr>Logística</vt:lpstr>
      <vt:lpstr>Mantenimiento</vt:lpstr>
      <vt:lpstr>Mensajero</vt:lpstr>
      <vt:lpstr>Operario Cargue y Descargue</vt:lpstr>
      <vt:lpstr>Operario de Servicios Generales</vt:lpstr>
      <vt:lpstr>Operario de Servicios Industriales OSBL</vt:lpstr>
      <vt:lpstr>Operario ISBL</vt:lpstr>
      <vt:lpstr>Planeación Financiera</vt:lpstr>
      <vt:lpstr>Presidencia </vt:lpstr>
      <vt:lpstr>Presidente</vt:lpstr>
      <vt:lpstr>Producción</vt:lpstr>
      <vt:lpstr>Servicios Industriales</vt:lpstr>
      <vt:lpstr>Técnico en Mantenimiento Eléctrico</vt:lpstr>
      <vt:lpstr>Técnico en Mantenimiento Mecánico</vt:lpstr>
      <vt:lpstr>Técnico Instrumentista</vt:lpstr>
      <vt:lpstr>Técnico Soldador</vt:lpstr>
      <vt:lpstr>Tesorería</vt:lpstr>
      <vt:lpstr>TIC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Pardo</dc:creator>
  <cp:keywords/>
  <dc:description/>
  <cp:lastModifiedBy>Jose Angulo</cp:lastModifiedBy>
  <cp:revision/>
  <cp:lastPrinted>2025-02-14T04:59:43Z</cp:lastPrinted>
  <dcterms:created xsi:type="dcterms:W3CDTF">2020-06-30T00:16:05Z</dcterms:created>
  <dcterms:modified xsi:type="dcterms:W3CDTF">2025-10-17T21:03:50Z</dcterms:modified>
  <cp:category/>
  <cp:contentStatus/>
</cp:coreProperties>
</file>