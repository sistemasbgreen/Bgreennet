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gulo\Documents\"/>
    </mc:Choice>
  </mc:AlternateContent>
  <xr:revisionPtr revIDLastSave="0" documentId="13_ncr:1_{186F510D-34E9-41DD-8569-C147FF3F75BA}" xr6:coauthVersionLast="47" xr6:coauthVersionMax="47" xr10:uidLastSave="{00000000-0000-0000-0000-000000000000}"/>
  <bookViews>
    <workbookView xWindow="768" yWindow="768" windowWidth="21600" windowHeight="11232" xr2:uid="{10D10D1B-C848-4677-AEE5-5EB9FFF82D4B}"/>
  </bookViews>
  <sheets>
    <sheet name="Ingreso" sheetId="6" r:id="rId1"/>
    <sheet name="Comex (Ingreso)" sheetId="3" r:id="rId2"/>
    <sheet name="Salida" sheetId="8" r:id="rId3"/>
    <sheet name="Comex (Salida)" sheetId="5" r:id="rId4"/>
    <sheet name="Lista" sheetId="2" state="hidden" r:id="rId5"/>
  </sheets>
  <definedNames>
    <definedName name="Martillo" localSheetId="2">Salida!#REF!</definedName>
    <definedName name="Martillo">Ingreso!#REF!</definedName>
  </definedNames>
  <calcPr calcId="191029"/>
  <customWorkbookViews>
    <customWorkbookView name="Hoja" guid="{6F4C363F-0186-4625-BDD1-378CC40576FA}" maximized="1" xWindow="-8" yWindow="-8" windowWidth="1382" windowHeight="736" activeSheetId="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E4" i="3"/>
  <c r="D4" i="3"/>
  <c r="C4" i="3"/>
  <c r="F17" i="5"/>
  <c r="E17" i="5"/>
  <c r="D17" i="5"/>
  <c r="C17" i="5"/>
  <c r="F16" i="5"/>
  <c r="E16" i="5"/>
  <c r="D16" i="5"/>
  <c r="C16" i="5"/>
  <c r="F15" i="5"/>
  <c r="E15" i="5"/>
  <c r="D15" i="5"/>
  <c r="C15" i="5"/>
  <c r="F14" i="5"/>
  <c r="E14" i="5"/>
  <c r="D14" i="5"/>
  <c r="C14" i="5"/>
  <c r="F13" i="5"/>
  <c r="E13" i="5"/>
  <c r="D13" i="5"/>
  <c r="C13" i="5"/>
  <c r="F12" i="5"/>
  <c r="E12" i="5"/>
  <c r="D12" i="5"/>
  <c r="C12" i="5"/>
  <c r="F11" i="5"/>
  <c r="E11" i="5"/>
  <c r="D11" i="5"/>
  <c r="C11" i="5"/>
  <c r="F10" i="5"/>
  <c r="E10" i="5"/>
  <c r="D10" i="5"/>
  <c r="C10" i="5"/>
  <c r="F9" i="5"/>
  <c r="E9" i="5"/>
  <c r="D9" i="5"/>
  <c r="C9" i="5"/>
  <c r="F8" i="5"/>
  <c r="E8" i="5"/>
  <c r="D8" i="5"/>
  <c r="C8" i="5"/>
  <c r="F7" i="5"/>
  <c r="E7" i="5"/>
  <c r="D7" i="5"/>
  <c r="C7" i="5"/>
  <c r="F6" i="5"/>
  <c r="E6" i="5"/>
  <c r="D6" i="5"/>
  <c r="C6" i="5"/>
  <c r="F5" i="5"/>
  <c r="E5" i="5"/>
  <c r="D5" i="5"/>
  <c r="C5" i="5"/>
  <c r="F4" i="5"/>
  <c r="E4" i="5"/>
  <c r="D4" i="5"/>
  <c r="C4" i="5"/>
  <c r="F3" i="5"/>
  <c r="E3" i="5"/>
  <c r="D3" i="5"/>
  <c r="C3" i="5"/>
  <c r="C3" i="3"/>
  <c r="F3" i="3" l="1"/>
  <c r="E3" i="3"/>
  <c r="D3" i="3"/>
</calcChain>
</file>

<file path=xl/sharedStrings.xml><?xml version="1.0" encoding="utf-8"?>
<sst xmlns="http://schemas.openxmlformats.org/spreadsheetml/2006/main" count="370" uniqueCount="338">
  <si>
    <t>Ciudad, fecha</t>
  </si>
  <si>
    <t xml:space="preserve">Sres: </t>
  </si>
  <si>
    <t>Nombre</t>
  </si>
  <si>
    <t>Cantidad</t>
  </si>
  <si>
    <t>Medida</t>
  </si>
  <si>
    <t>Tipo</t>
  </si>
  <si>
    <t>ID</t>
  </si>
  <si>
    <t>Símbolo</t>
  </si>
  <si>
    <t>Unidad</t>
  </si>
  <si>
    <t>kg</t>
  </si>
  <si>
    <t>Kilogramos</t>
  </si>
  <si>
    <t>c/t</t>
  </si>
  <si>
    <t>Quilate</t>
  </si>
  <si>
    <t>m</t>
  </si>
  <si>
    <t>Metro</t>
  </si>
  <si>
    <t>m2</t>
  </si>
  <si>
    <t>Metro cuadrado</t>
  </si>
  <si>
    <t>m3</t>
  </si>
  <si>
    <t>Metro cúbico</t>
  </si>
  <si>
    <t>cm3</t>
  </si>
  <si>
    <t>Centímetro cúbico</t>
  </si>
  <si>
    <t>l</t>
  </si>
  <si>
    <t>Litro</t>
  </si>
  <si>
    <t>u</t>
  </si>
  <si>
    <t>Unidades</t>
  </si>
  <si>
    <t>2u</t>
  </si>
  <si>
    <t>Par</t>
  </si>
  <si>
    <t>12u</t>
  </si>
  <si>
    <t>Docena</t>
  </si>
  <si>
    <t>MIL</t>
  </si>
  <si>
    <t>Miles de unidades</t>
  </si>
  <si>
    <t>kWh</t>
  </si>
  <si>
    <t>Kilovatios por hora</t>
  </si>
  <si>
    <t>GLN</t>
  </si>
  <si>
    <t>Galones</t>
  </si>
  <si>
    <t>GRM</t>
  </si>
  <si>
    <t>Gramos</t>
  </si>
  <si>
    <t>ROLL</t>
  </si>
  <si>
    <t>Rollo</t>
  </si>
  <si>
    <t>NAR</t>
  </si>
  <si>
    <t>Numero de artícul</t>
  </si>
  <si>
    <t>PZ</t>
  </si>
  <si>
    <t>Pieza</t>
  </si>
  <si>
    <t>CTO</t>
  </si>
  <si>
    <t>Cuarto</t>
  </si>
  <si>
    <t>lb</t>
  </si>
  <si>
    <t>Libra</t>
  </si>
  <si>
    <t>UP</t>
  </si>
  <si>
    <t>Unidad de Potencia</t>
  </si>
  <si>
    <t>ft</t>
  </si>
  <si>
    <t>Pie</t>
  </si>
  <si>
    <t>Caj</t>
  </si>
  <si>
    <t>Caja</t>
  </si>
  <si>
    <t>Tr</t>
  </si>
  <si>
    <t>Tambor</t>
  </si>
  <si>
    <t>Ae</t>
  </si>
  <si>
    <t>Aerosol</t>
  </si>
  <si>
    <t>Amp</t>
  </si>
  <si>
    <t>Ampolla</t>
  </si>
  <si>
    <t>Ingreso</t>
  </si>
  <si>
    <t>Nombre:</t>
  </si>
  <si>
    <t>Cédula:</t>
  </si>
  <si>
    <t>Salida</t>
  </si>
  <si>
    <t>Bal</t>
  </si>
  <si>
    <t>Barril</t>
  </si>
  <si>
    <t>Bob</t>
  </si>
  <si>
    <t>Bobina</t>
  </si>
  <si>
    <t>Maj</t>
  </si>
  <si>
    <t>Manojo</t>
  </si>
  <si>
    <t>Sac</t>
  </si>
  <si>
    <t>Saco</t>
  </si>
  <si>
    <t>Ha</t>
  </si>
  <si>
    <t>Haz</t>
  </si>
  <si>
    <t>Cbo</t>
  </si>
  <si>
    <t>Cubo</t>
  </si>
  <si>
    <t>Ce</t>
  </si>
  <si>
    <t>Cesta</t>
  </si>
  <si>
    <t>Fa</t>
  </si>
  <si>
    <t>Fardo</t>
  </si>
  <si>
    <t>Bar</t>
  </si>
  <si>
    <t>Barra</t>
  </si>
  <si>
    <t>Bot</t>
  </si>
  <si>
    <t>Botella</t>
  </si>
  <si>
    <t>Cof</t>
  </si>
  <si>
    <t>Cofre</t>
  </si>
  <si>
    <t>Jau</t>
  </si>
  <si>
    <t>Jaula</t>
  </si>
  <si>
    <t>Ata</t>
  </si>
  <si>
    <t>Ataud</t>
  </si>
  <si>
    <t>Esp</t>
  </si>
  <si>
    <t>Espira</t>
  </si>
  <si>
    <t>Cct</t>
  </si>
  <si>
    <t>Caja de carton</t>
  </si>
  <si>
    <t>Cu</t>
  </si>
  <si>
    <t>Cubierta</t>
  </si>
  <si>
    <t>Ci</t>
  </si>
  <si>
    <t>Cilindro</t>
  </si>
  <si>
    <t>Bi</t>
  </si>
  <si>
    <t>Bidon</t>
  </si>
  <si>
    <t>Baf</t>
  </si>
  <si>
    <t>Banasta para frutas</t>
  </si>
  <si>
    <t>Fr</t>
  </si>
  <si>
    <t>Frasco</t>
  </si>
  <si>
    <t>Ar</t>
  </si>
  <si>
    <t>Armazon</t>
  </si>
  <si>
    <t>Vi</t>
  </si>
  <si>
    <t>Viguetas</t>
  </si>
  <si>
    <t>Li</t>
  </si>
  <si>
    <t>Lingote</t>
  </si>
  <si>
    <t>Ja</t>
  </si>
  <si>
    <t>Jarro</t>
  </si>
  <si>
    <t>Es</t>
  </si>
  <si>
    <t>Estera</t>
  </si>
  <si>
    <t>Sa</t>
  </si>
  <si>
    <t>Saco sin embalar, sin envasar</t>
  </si>
  <si>
    <t>Re</t>
  </si>
  <si>
    <t>Red</t>
  </si>
  <si>
    <t>Pa</t>
  </si>
  <si>
    <t>Paquete</t>
  </si>
  <si>
    <t>Cha</t>
  </si>
  <si>
    <t>Chapa</t>
  </si>
  <si>
    <t>Tu</t>
  </si>
  <si>
    <t>Tubo</t>
  </si>
  <si>
    <t>Bu</t>
  </si>
  <si>
    <t>Bulto</t>
  </si>
  <si>
    <t>Bo</t>
  </si>
  <si>
    <t>Bolsa</t>
  </si>
  <si>
    <t>Ban</t>
  </si>
  <si>
    <t>Bandeja</t>
  </si>
  <si>
    <t>Va</t>
  </si>
  <si>
    <t>Varilla</t>
  </si>
  <si>
    <t>An</t>
  </si>
  <si>
    <t>Anilla</t>
  </si>
  <si>
    <t>Car</t>
  </si>
  <si>
    <t>Carrete</t>
  </si>
  <si>
    <t>Ho</t>
  </si>
  <si>
    <t>Hoja</t>
  </si>
  <si>
    <t>Ma</t>
  </si>
  <si>
    <t>Maleta</t>
  </si>
  <si>
    <t>La</t>
  </si>
  <si>
    <t>Lata</t>
  </si>
  <si>
    <t>To</t>
  </si>
  <si>
    <t>Tonel</t>
  </si>
  <si>
    <t>Ba</t>
  </si>
  <si>
    <t>Baul</t>
  </si>
  <si>
    <t>Gan</t>
  </si>
  <si>
    <t>GRANEL, GAS(A 1301 mbar 15 c)</t>
  </si>
  <si>
    <t>Gl</t>
  </si>
  <si>
    <t>Granel, liquido</t>
  </si>
  <si>
    <t>Gs</t>
  </si>
  <si>
    <t>Granel, solido, part. Grandes (n</t>
  </si>
  <si>
    <t>Gg</t>
  </si>
  <si>
    <t>GRANEL, GAS LICUADO (temp/pres a</t>
  </si>
  <si>
    <t>Gspg</t>
  </si>
  <si>
    <t>Granel, solido, part. Granular (</t>
  </si>
  <si>
    <t>Gspf</t>
  </si>
  <si>
    <t>Granel, solido, part. Finas (pol</t>
  </si>
  <si>
    <t>Ga</t>
  </si>
  <si>
    <t>Garrafon</t>
  </si>
  <si>
    <t>Oe</t>
  </si>
  <si>
    <t>Otros embalajes</t>
  </si>
  <si>
    <t>Am</t>
  </si>
  <si>
    <t>Ampolla, protegida</t>
  </si>
  <si>
    <t>At</t>
  </si>
  <si>
    <t>Atomizador</t>
  </si>
  <si>
    <t>Cbb</t>
  </si>
  <si>
    <t>Cajón de botellas, botellero</t>
  </si>
  <si>
    <t>Tbl</t>
  </si>
  <si>
    <t>Tabla</t>
  </si>
  <si>
    <t>Bs</t>
  </si>
  <si>
    <t>Balón, sin proteger</t>
  </si>
  <si>
    <t>Cbi</t>
  </si>
  <si>
    <t>Cubo (bin)</t>
  </si>
  <si>
    <t>Bc</t>
  </si>
  <si>
    <t>Bala, sin comprimir</t>
  </si>
  <si>
    <t>Bsp</t>
  </si>
  <si>
    <t>Botella, sin proteger, cilíndric</t>
  </si>
  <si>
    <t>Bp</t>
  </si>
  <si>
    <t>Balón, protegido</t>
  </si>
  <si>
    <t>Bpc</t>
  </si>
  <si>
    <t>Botella, protegida, cilíndrica</t>
  </si>
  <si>
    <t>Bru</t>
  </si>
  <si>
    <t>Barrica (butt)</t>
  </si>
  <si>
    <t>Bpb</t>
  </si>
  <si>
    <t>Botella, protegida, bulbosa</t>
  </si>
  <si>
    <t>Cj</t>
  </si>
  <si>
    <t>Caja (box)</t>
  </si>
  <si>
    <t>Th</t>
  </si>
  <si>
    <t>Tabla, en haz/atado/fajo</t>
  </si>
  <si>
    <t>Bh</t>
  </si>
  <si>
    <t>Barras, en haz/atado/fajo</t>
  </si>
  <si>
    <t>Lr</t>
  </si>
  <si>
    <t>Lata, rectangular</t>
  </si>
  <si>
    <t>Cc</t>
  </si>
  <si>
    <t>Cajón de cerveza</t>
  </si>
  <si>
    <t>Lce</t>
  </si>
  <si>
    <t>Lechera</t>
  </si>
  <si>
    <t>Ns</t>
  </si>
  <si>
    <t>Nasa</t>
  </si>
  <si>
    <t>Ac</t>
  </si>
  <si>
    <t>Arcón</t>
  </si>
  <si>
    <t>Ca</t>
  </si>
  <si>
    <t>Cuba (cask)</t>
  </si>
  <si>
    <t>Gsp</t>
  </si>
  <si>
    <t>Garrafa, sin proteger</t>
  </si>
  <si>
    <t>Gpt</t>
  </si>
  <si>
    <t>Garrafa, protegida</t>
  </si>
  <si>
    <t>Co</t>
  </si>
  <si>
    <t>Cajón</t>
  </si>
  <si>
    <t>Lc</t>
  </si>
  <si>
    <t>Lata, cilíndrica</t>
  </si>
  <si>
    <t>Lo</t>
  </si>
  <si>
    <t>Lona</t>
  </si>
  <si>
    <t>Dp</t>
  </si>
  <si>
    <t>Damajuana, sin proteger</t>
  </si>
  <si>
    <t>Dpr</t>
  </si>
  <si>
    <t>Damajuana, protegida</t>
  </si>
  <si>
    <t>Sb</t>
  </si>
  <si>
    <t>Sobre</t>
  </si>
  <si>
    <t>Cad</t>
  </si>
  <si>
    <t>Cajón armado</t>
  </si>
  <si>
    <t>Br</t>
  </si>
  <si>
    <t>Barrilito</t>
  </si>
  <si>
    <t>Pf</t>
  </si>
  <si>
    <t>Pelicula plástica (filmpack)</t>
  </si>
  <si>
    <t>Bg</t>
  </si>
  <si>
    <t>Bombona de gas</t>
  </si>
  <si>
    <t>Vhaf</t>
  </si>
  <si>
    <t>Viga, en haz/atado/fajo</t>
  </si>
  <si>
    <t>Cho</t>
  </si>
  <si>
    <t>Cuba (hogshead)</t>
  </si>
  <si>
    <t>Cta</t>
  </si>
  <si>
    <t>Canasta</t>
  </si>
  <si>
    <t>Lha</t>
  </si>
  <si>
    <t>Lingotes, en haz/atado/fajo</t>
  </si>
  <si>
    <t>Jr</t>
  </si>
  <si>
    <t>Jerricán, rectangular</t>
  </si>
  <si>
    <t>Jj</t>
  </si>
  <si>
    <t>Jarra (jug)</t>
  </si>
  <si>
    <t>Sy</t>
  </si>
  <si>
    <t>Saco de yute</t>
  </si>
  <si>
    <t>Jc</t>
  </si>
  <si>
    <t>Jerricán, cilindrico</t>
  </si>
  <si>
    <t>Bk</t>
  </si>
  <si>
    <t>Barrilete (keg)</t>
  </si>
  <si>
    <t>Tc</t>
  </si>
  <si>
    <t>Tronco</t>
  </si>
  <si>
    <t>Thf</t>
  </si>
  <si>
    <t>Tronco, en haz/atado/fajo</t>
  </si>
  <si>
    <t>Bhs</t>
  </si>
  <si>
    <t>Bolsa de hojas superpuestas</t>
  </si>
  <si>
    <t>Cl</t>
  </si>
  <si>
    <t>Cajón de leche</t>
  </si>
  <si>
    <t>Spm</t>
  </si>
  <si>
    <t>Saco de paredes múltiples</t>
  </si>
  <si>
    <t>Cff</t>
  </si>
  <si>
    <t>Caja de fósforos</t>
  </si>
  <si>
    <t>Cn</t>
  </si>
  <si>
    <t>Caja-nido</t>
  </si>
  <si>
    <t>Cf</t>
  </si>
  <si>
    <t>Cofre (footlocker)</t>
  </si>
  <si>
    <t>Ct</t>
  </si>
  <si>
    <t>Cajetilla</t>
  </si>
  <si>
    <t>Cb</t>
  </si>
  <si>
    <t>Cubeta (pail)</t>
  </si>
  <si>
    <t>Tb</t>
  </si>
  <si>
    <t>Tablón</t>
  </si>
  <si>
    <t>Ch</t>
  </si>
  <si>
    <t>Chapas, en haz/atado/fajo</t>
  </si>
  <si>
    <t>Ta</t>
  </si>
  <si>
    <t>Tablones, en haz/atado/fajo</t>
  </si>
  <si>
    <t>Srr</t>
  </si>
  <si>
    <t>Saco de red (rednet)</t>
  </si>
  <si>
    <t>Vha</t>
  </si>
  <si>
    <t>Varillas, en haz/atado/fajo</t>
  </si>
  <si>
    <t>Cp</t>
  </si>
  <si>
    <t>Cajón plano</t>
  </si>
  <si>
    <t>Bsd</t>
  </si>
  <si>
    <t>Bobina (spindle)</t>
  </si>
  <si>
    <t>Amo</t>
  </si>
  <si>
    <t>Arcón marino</t>
  </si>
  <si>
    <t>Blta</t>
  </si>
  <si>
    <t>Bolsita (sachet)</t>
  </si>
  <si>
    <t>Jab</t>
  </si>
  <si>
    <t>Jaula abierta</t>
  </si>
  <si>
    <t>Ld</t>
  </si>
  <si>
    <t>Lámina deslizadora (slipsheet)</t>
  </si>
  <si>
    <t>Lm</t>
  </si>
  <si>
    <t>Lámina</t>
  </si>
  <si>
    <t>Pt</t>
  </si>
  <si>
    <t>Pelicula termorretráctil</t>
  </si>
  <si>
    <t>Hha</t>
  </si>
  <si>
    <t>Hojas, en haz/atado/fajo</t>
  </si>
  <si>
    <t>Cub</t>
  </si>
  <si>
    <t>Cuba</t>
  </si>
  <si>
    <t>Cte</t>
  </si>
  <si>
    <t>Cajón de té</t>
  </si>
  <si>
    <t>Tpt</t>
  </si>
  <si>
    <t>Tubo, plegable (tube, collapsibl</t>
  </si>
  <si>
    <t>Trr</t>
  </si>
  <si>
    <t>Tanque, rectangular</t>
  </si>
  <si>
    <t>Ft</t>
  </si>
  <si>
    <t>Fajos (truss)</t>
  </si>
  <si>
    <t>Tt</t>
  </si>
  <si>
    <t>Tubo (tube)</t>
  </si>
  <si>
    <t>Tci</t>
  </si>
  <si>
    <t>Tanque, cilindrico</t>
  </si>
  <si>
    <t>Tha</t>
  </si>
  <si>
    <t>Tubos (tubes), en haz/atado/fajo</t>
  </si>
  <si>
    <t>Tan</t>
  </si>
  <si>
    <t>Tanque</t>
  </si>
  <si>
    <t>Fs</t>
  </si>
  <si>
    <t>Frasca</t>
  </si>
  <si>
    <t>Ev</t>
  </si>
  <si>
    <t>Envasado al vacío</t>
  </si>
  <si>
    <t>Cec</t>
  </si>
  <si>
    <t>Caneca</t>
  </si>
  <si>
    <t>Pg</t>
  </si>
  <si>
    <t>Pulgada</t>
  </si>
  <si>
    <t>in</t>
  </si>
  <si>
    <t>Pulgadas</t>
  </si>
  <si>
    <t>ATN. Zona Franca Tayrona S.A.S (Operaciones)</t>
  </si>
  <si>
    <r>
      <rPr>
        <b/>
        <sz val="11"/>
        <color theme="1"/>
        <rFont val="Calibri"/>
        <family val="2"/>
        <scheme val="minor"/>
      </rPr>
      <t>Referencia:</t>
    </r>
    <r>
      <rPr>
        <sz val="11"/>
        <color theme="1"/>
        <rFont val="Calibri"/>
        <family val="2"/>
        <scheme val="minor"/>
      </rPr>
      <t xml:space="preserve"> Solicitud de ingreso de herramientas</t>
    </r>
  </si>
  <si>
    <t>Cordialmente,</t>
  </si>
  <si>
    <t xml:space="preserve">solicitamos autorización de ingreso a las instalaciones de BGreen S.A.S de nuestras herramientas </t>
  </si>
  <si>
    <t>Item</t>
  </si>
  <si>
    <t xml:space="preserve">BGREEN  S.A.S </t>
  </si>
  <si>
    <t>Liberty networks</t>
  </si>
  <si>
    <t>Luis Cuello</t>
  </si>
  <si>
    <t>Por medio de la presente solicitamos la salida del equipo Raisecom ingresados a Zona Franca Tayrona</t>
  </si>
  <si>
    <t>con ID: C11003850 bajo la autorización N° (indicar número).</t>
  </si>
  <si>
    <t xml:space="preserve">Maquina fusionadora de fibra óptica </t>
  </si>
  <si>
    <t>Medidor de fibra óptica OTDR</t>
  </si>
  <si>
    <t xml:space="preserve">Caja de herramientas con juego de llaves, destornillador, martillo </t>
  </si>
  <si>
    <t>Barra, pata de cabra</t>
  </si>
  <si>
    <t xml:space="preserve">Nosotros Claro S.A.S con Nit No. 900.566.554-2, por medio de la presente </t>
  </si>
  <si>
    <t xml:space="preserve">relacionadas a continuación desde 12/03/2025 hasta 12/03/2025 por el funcionario </t>
  </si>
  <si>
    <t>ISAAC ANDRES COTES con C.C. 1007783549.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</si>
</sst>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66A3D3"/>
      <name val="Segoe UI"/>
      <family val="2"/>
    </font>
    <font>
      <sz val="9"/>
      <color rgb="FF23282C"/>
      <name val="Segoe UI"/>
      <family val="2"/>
    </font>
    <font>
      <sz val="10"/>
      <color theme="1"/>
      <name val="Calibri"/>
      <family val="2"/>
      <scheme val="minor"/>
    </font>
    <font>
      <sz val="10"/>
      <color rgb="FF23282C"/>
      <name val="Segoe UI"/>
      <family val="2"/>
    </font>
    <font>
      <sz val="8"/>
      <color rgb="FF23282C"/>
      <name val="Segoe UI"/>
      <family val="2"/>
    </font>
    <font>
      <b/>
      <sz val="8"/>
      <color rgb="FF66A3D3"/>
      <name val="Segoe UI"/>
      <family val="2"/>
    </font>
    <font>
      <sz val="8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9FE"/>
        <bgColor indexed="64"/>
      </patternFill>
    </fill>
  </fills>
  <borders count="6">
    <border>
      <left/>
      <right/>
      <top/>
      <bottom/>
      <diagonal/>
    </border>
    <border>
      <left style="medium">
        <color rgb="FFE5EFF8"/>
      </left>
      <right/>
      <top/>
      <bottom style="medium">
        <color rgb="FFE5EFF8"/>
      </bottom>
      <diagonal/>
    </border>
    <border>
      <left style="medium">
        <color rgb="FFE5EFF8"/>
      </left>
      <right/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/>
      <bottom style="medium">
        <color rgb="FFE5EFF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3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6" fillId="2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7117279F-5A57-43B1-8AF7-0124A3783E7A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30DAA282-EAD7-4CFB-8FC7-A32889242B33}"/>
</namedSheetView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C246-E575-4602-BDB7-5F2CA8694E0C}">
  <sheetPr>
    <pageSetUpPr fitToPage="1"/>
  </sheetPr>
  <dimension ref="B6:J45"/>
  <sheetViews>
    <sheetView showGridLines="0" tabSelected="1" view="pageLayout" topLeftCell="A11" zoomScaleNormal="100" workbookViewId="0">
      <selection activeCell="B22" sqref="B22"/>
    </sheetView>
  </sheetViews>
  <sheetFormatPr baseColWidth="10" defaultRowHeight="14.4" x14ac:dyDescent="0.3"/>
  <cols>
    <col min="1" max="1" width="6.44140625" customWidth="1"/>
    <col min="2" max="2" width="9.109375" customWidth="1"/>
    <col min="3" max="3" width="5" customWidth="1"/>
    <col min="4" max="4" width="5.21875" bestFit="1" customWidth="1"/>
    <col min="5" max="5" width="23.21875" bestFit="1" customWidth="1"/>
    <col min="6" max="6" width="9.109375" customWidth="1"/>
    <col min="7" max="7" width="7.88671875" bestFit="1" customWidth="1"/>
    <col min="8" max="8" width="6.44140625" bestFit="1" customWidth="1"/>
    <col min="9" max="9" width="9.109375" customWidth="1"/>
  </cols>
  <sheetData>
    <row r="6" spans="2:6" x14ac:dyDescent="0.3">
      <c r="B6" t="s">
        <v>0</v>
      </c>
    </row>
    <row r="10" spans="2:6" x14ac:dyDescent="0.3">
      <c r="B10" t="s">
        <v>1</v>
      </c>
    </row>
    <row r="11" spans="2:6" x14ac:dyDescent="0.3">
      <c r="B11" s="16" t="s">
        <v>326</v>
      </c>
    </row>
    <row r="12" spans="2:6" x14ac:dyDescent="0.3">
      <c r="B12" s="16" t="s">
        <v>321</v>
      </c>
    </row>
    <row r="16" spans="2:6" x14ac:dyDescent="0.3">
      <c r="F16" t="s">
        <v>322</v>
      </c>
    </row>
    <row r="18" spans="2:10" ht="15" customHeight="1" x14ac:dyDescent="0.3">
      <c r="B18" t="s">
        <v>335</v>
      </c>
      <c r="C18" s="1"/>
      <c r="D18" s="1"/>
      <c r="E18" s="1"/>
      <c r="F18" s="1"/>
      <c r="G18" s="1"/>
      <c r="H18" s="1"/>
      <c r="I18" s="1"/>
      <c r="J18" s="1"/>
    </row>
    <row r="19" spans="2:10" ht="15" customHeight="1" x14ac:dyDescent="0.3">
      <c r="B19" t="s">
        <v>324</v>
      </c>
      <c r="C19" s="1"/>
      <c r="D19" s="1"/>
      <c r="E19" s="1"/>
      <c r="F19" s="1"/>
      <c r="G19" s="1"/>
      <c r="H19" s="1"/>
      <c r="I19" s="1"/>
      <c r="J19" s="1"/>
    </row>
    <row r="20" spans="2:10" x14ac:dyDescent="0.3">
      <c r="B20" t="s">
        <v>336</v>
      </c>
      <c r="C20" s="1"/>
      <c r="D20" s="1"/>
      <c r="E20" s="1"/>
      <c r="F20" s="1"/>
      <c r="G20" s="1"/>
      <c r="H20" s="1"/>
      <c r="I20" s="1"/>
      <c r="J20" s="1"/>
    </row>
    <row r="21" spans="2:10" x14ac:dyDescent="0.3">
      <c r="B21" t="s">
        <v>337</v>
      </c>
      <c r="C21" s="1"/>
      <c r="D21" s="1"/>
      <c r="E21" s="1"/>
      <c r="F21" s="1"/>
      <c r="G21" s="1"/>
      <c r="H21" s="1"/>
      <c r="I21" s="1"/>
      <c r="J21" s="1"/>
    </row>
    <row r="22" spans="2:10" x14ac:dyDescent="0.3">
      <c r="B22" s="1"/>
      <c r="C22" s="1"/>
      <c r="D22" s="1"/>
      <c r="E22" s="1"/>
      <c r="F22" s="1"/>
      <c r="G22" s="1"/>
      <c r="H22" s="1"/>
      <c r="I22" s="1"/>
      <c r="J22" s="1"/>
    </row>
    <row r="24" spans="2:10" x14ac:dyDescent="0.3">
      <c r="D24" s="21" t="s">
        <v>325</v>
      </c>
      <c r="E24" s="21" t="s">
        <v>2</v>
      </c>
      <c r="F24" s="21" t="s">
        <v>3</v>
      </c>
      <c r="G24" s="21" t="s">
        <v>4</v>
      </c>
      <c r="H24" s="21" t="s">
        <v>5</v>
      </c>
    </row>
    <row r="25" spans="2:10" ht="22.8" x14ac:dyDescent="0.3">
      <c r="D25" s="20">
        <v>1</v>
      </c>
      <c r="E25" s="20" t="s">
        <v>331</v>
      </c>
      <c r="F25" s="20">
        <v>1</v>
      </c>
      <c r="G25" s="20" t="s">
        <v>24</v>
      </c>
      <c r="H25" s="20" t="s">
        <v>59</v>
      </c>
    </row>
    <row r="26" spans="2:10" x14ac:dyDescent="0.3">
      <c r="D26" s="20">
        <v>2</v>
      </c>
      <c r="E26" s="22" t="s">
        <v>332</v>
      </c>
      <c r="F26" s="20">
        <v>1</v>
      </c>
      <c r="G26" s="20" t="s">
        <v>24</v>
      </c>
      <c r="H26" s="20" t="s">
        <v>59</v>
      </c>
    </row>
    <row r="27" spans="2:10" x14ac:dyDescent="0.3">
      <c r="D27" s="20">
        <v>3</v>
      </c>
      <c r="E27" s="20" t="s">
        <v>332</v>
      </c>
      <c r="F27" s="20">
        <v>1</v>
      </c>
      <c r="G27" s="20" t="s">
        <v>24</v>
      </c>
      <c r="H27" s="20" t="s">
        <v>59</v>
      </c>
    </row>
    <row r="28" spans="2:10" ht="22.2" x14ac:dyDescent="0.3">
      <c r="D28" s="20">
        <v>4</v>
      </c>
      <c r="E28" s="23" t="s">
        <v>333</v>
      </c>
      <c r="F28" s="20">
        <v>1</v>
      </c>
      <c r="G28" s="20" t="s">
        <v>24</v>
      </c>
      <c r="H28" s="20" t="s">
        <v>59</v>
      </c>
    </row>
    <row r="29" spans="2:10" x14ac:dyDescent="0.3">
      <c r="D29" s="20">
        <v>5</v>
      </c>
      <c r="E29" s="22" t="s">
        <v>334</v>
      </c>
      <c r="F29" s="20">
        <v>1</v>
      </c>
      <c r="G29" s="20" t="s">
        <v>24</v>
      </c>
      <c r="H29" s="20" t="s">
        <v>59</v>
      </c>
    </row>
    <row r="30" spans="2:10" x14ac:dyDescent="0.3">
      <c r="D30" s="20">
        <v>6</v>
      </c>
      <c r="E30" s="20"/>
      <c r="F30" s="20"/>
      <c r="G30" s="20"/>
      <c r="H30" s="20"/>
    </row>
    <row r="31" spans="2:10" x14ac:dyDescent="0.3">
      <c r="D31" s="20">
        <v>7</v>
      </c>
      <c r="E31" s="20"/>
      <c r="F31" s="20"/>
      <c r="G31" s="20"/>
      <c r="H31" s="20"/>
    </row>
    <row r="32" spans="2:10" x14ac:dyDescent="0.3">
      <c r="D32" s="20">
        <v>8</v>
      </c>
      <c r="E32" s="20"/>
      <c r="F32" s="20"/>
      <c r="G32" s="20"/>
      <c r="H32" s="20"/>
    </row>
    <row r="33" spans="2:8" x14ac:dyDescent="0.3">
      <c r="D33" s="20">
        <v>9</v>
      </c>
      <c r="E33" s="20"/>
      <c r="F33" s="20"/>
      <c r="G33" s="20"/>
      <c r="H33" s="20"/>
    </row>
    <row r="34" spans="2:8" x14ac:dyDescent="0.3">
      <c r="D34" s="20">
        <v>10</v>
      </c>
      <c r="E34" s="20"/>
      <c r="F34" s="20"/>
      <c r="G34" s="20"/>
      <c r="H34" s="20"/>
    </row>
    <row r="35" spans="2:8" x14ac:dyDescent="0.3">
      <c r="E35" s="17"/>
      <c r="F35" s="17"/>
      <c r="G35" s="17"/>
      <c r="H35" s="17"/>
    </row>
    <row r="38" spans="2:8" x14ac:dyDescent="0.3">
      <c r="B38" t="s">
        <v>323</v>
      </c>
    </row>
    <row r="44" spans="2:8" x14ac:dyDescent="0.3">
      <c r="B44" t="s">
        <v>60</v>
      </c>
    </row>
    <row r="45" spans="2:8" x14ac:dyDescent="0.3">
      <c r="B45" t="s">
        <v>61</v>
      </c>
    </row>
  </sheetData>
  <customSheetViews>
    <customSheetView guid="{6F4C363F-0186-4625-BDD1-378CC40576FA}" showPageBreaks="1" showGridLines="0" fitToPage="1" view="pageLayout">
      <selection activeCell="B16" sqref="B16"/>
      <pageMargins left="0.25" right="0.25" top="0.75" bottom="0.75" header="0.3" footer="0.3"/>
      <pageSetup fitToWidth="0" orientation="portrait" r:id="rId1"/>
      <headerFooter>
        <oddHeader>&amp;LLOGO DE LA EMPRESA (CONTRATISTA)</oddHeader>
      </headerFooter>
    </customSheetView>
  </customSheetViews>
  <pageMargins left="0.23622047244094491" right="0.23622047244094491" top="0.74803149606299213" bottom="0.74803149606299213" header="0.31496062992125984" footer="0.31496062992125984"/>
  <pageSetup fitToWidth="0" orientation="portrait" r:id="rId2"/>
  <headerFooter>
    <oddHeader xml:space="preserve">&amp;LPAPEL MEMBRETEADO / FIRMA 
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742C484-2735-4111-AB6D-5CC5F87B0B09}">
          <x14:formula1>
            <xm:f>Lista!$G$4:$G$5</xm:f>
          </x14:formula1>
          <xm:sqref>H25:H35</xm:sqref>
        </x14:dataValidation>
        <x14:dataValidation type="list" allowBlank="1" showInputMessage="1" showErrorMessage="1" xr:uid="{2D4087FB-1FCA-464D-AB29-CB2142AF7E1A}">
          <x14:formula1>
            <xm:f>Lista!$C$4:$C$157</xm:f>
          </x14:formula1>
          <xm:sqref>G25:G35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92D8-2F9F-4525-BC83-42B8AD2236D2}">
  <dimension ref="B1:F17"/>
  <sheetViews>
    <sheetView showGridLines="0" workbookViewId="0">
      <selection activeCell="B13" sqref="B13:B17"/>
    </sheetView>
  </sheetViews>
  <sheetFormatPr baseColWidth="10" defaultRowHeight="14.4" x14ac:dyDescent="0.3"/>
  <cols>
    <col min="2" max="6" width="11.44140625" style="19"/>
  </cols>
  <sheetData>
    <row r="1" spans="2:6" x14ac:dyDescent="0.3">
      <c r="B1"/>
      <c r="C1"/>
      <c r="D1"/>
      <c r="E1"/>
      <c r="F1"/>
    </row>
    <row r="2" spans="2:6" ht="15" x14ac:dyDescent="0.3">
      <c r="B2" s="3" t="s">
        <v>325</v>
      </c>
      <c r="C2" s="3" t="s">
        <v>2</v>
      </c>
      <c r="D2" s="3" t="s">
        <v>3</v>
      </c>
      <c r="E2" s="3" t="s">
        <v>4</v>
      </c>
      <c r="F2" s="3" t="s">
        <v>5</v>
      </c>
    </row>
    <row r="3" spans="2:6" ht="52.8" x14ac:dyDescent="0.3">
      <c r="B3" s="4">
        <v>1</v>
      </c>
      <c r="C3" s="18" t="str">
        <f>+IFERROR(Ingreso!$E25,"")</f>
        <v xml:space="preserve">Maquina fusionadora de fibra óptica </v>
      </c>
      <c r="D3" s="18">
        <f>+IFERROR(Ingreso!$F25,"")</f>
        <v>1</v>
      </c>
      <c r="E3" s="18">
        <f>+IFERROR(VLOOKUP(Ingreso!$G25,Lista!$C$4:$D$157,2,FALSE),"")</f>
        <v>8</v>
      </c>
      <c r="F3" s="18">
        <f>+IFERROR(VLOOKUP(Ingreso!$H25,Lista!$G$4:$H$5,2,FALSE),"")</f>
        <v>1</v>
      </c>
    </row>
    <row r="4" spans="2:6" ht="39.6" x14ac:dyDescent="0.3">
      <c r="B4" s="4">
        <v>2</v>
      </c>
      <c r="C4" s="18" t="str">
        <f>+IFERROR(Ingreso!$E26,"")</f>
        <v>Medidor de fibra óptica OTDR</v>
      </c>
      <c r="D4" s="18">
        <f>+IFERROR(Ingreso!$F26,"")</f>
        <v>1</v>
      </c>
      <c r="E4" s="18">
        <f>+IFERROR(VLOOKUP(Ingreso!$G26,Lista!$C$4:$D$157,2,FALSE),"")</f>
        <v>8</v>
      </c>
      <c r="F4" s="18">
        <f>+IFERROR(VLOOKUP(Ingreso!$H26,Lista!$G$4:$H$5,2,FALSE),"")</f>
        <v>1</v>
      </c>
    </row>
    <row r="5" spans="2:6" ht="39.6" x14ac:dyDescent="0.3">
      <c r="B5" s="4">
        <v>3</v>
      </c>
      <c r="C5" s="18" t="str">
        <f>+IFERROR(Ingreso!$E27,"")</f>
        <v>Medidor de fibra óptica OTDR</v>
      </c>
      <c r="D5" s="18">
        <f>+IFERROR(Ingreso!$F27,"")</f>
        <v>1</v>
      </c>
      <c r="E5" s="18">
        <f>+IFERROR(VLOOKUP(Ingreso!$G27,Lista!$C$4:$D$157,2,FALSE),"")</f>
        <v>8</v>
      </c>
      <c r="F5" s="18">
        <f>+IFERROR(VLOOKUP(Ingreso!$H27,Lista!$G$4:$H$5,2,FALSE),"")</f>
        <v>1</v>
      </c>
    </row>
    <row r="6" spans="2:6" x14ac:dyDescent="0.3">
      <c r="B6" s="4">
        <v>4</v>
      </c>
      <c r="C6" s="18" t="str">
        <f>+IFERROR(Ingreso!$E28,"")</f>
        <v xml:space="preserve">Caja de herramientas con juego de llaves, destornillador, martillo </v>
      </c>
      <c r="D6" s="18">
        <f>+IFERROR(Ingreso!$F28,"")</f>
        <v>1</v>
      </c>
      <c r="E6" s="18">
        <f>+IFERROR(VLOOKUP(Ingreso!$G28,Lista!$C$4:$D$157,2,FALSE),"")</f>
        <v>8</v>
      </c>
      <c r="F6" s="18">
        <f>+IFERROR(VLOOKUP(Ingreso!$H28,Lista!$G$4:$H$5,2,FALSE),"")</f>
        <v>1</v>
      </c>
    </row>
    <row r="7" spans="2:6" x14ac:dyDescent="0.3">
      <c r="B7" s="4">
        <v>5</v>
      </c>
      <c r="C7" s="18" t="str">
        <f>+IFERROR(Ingreso!$E29,"")</f>
        <v>Barra, pata de cabra</v>
      </c>
      <c r="D7" s="18">
        <f>+IFERROR(Ingreso!$F29,"")</f>
        <v>1</v>
      </c>
      <c r="E7" s="18">
        <f>+IFERROR(VLOOKUP(Ingreso!$G29,Lista!$C$4:$D$157,2,FALSE),"")</f>
        <v>8</v>
      </c>
      <c r="F7" s="18">
        <f>+IFERROR(VLOOKUP(Ingreso!$H29,Lista!$G$4:$H$5,2,FALSE),"")</f>
        <v>1</v>
      </c>
    </row>
    <row r="8" spans="2:6" x14ac:dyDescent="0.3">
      <c r="B8" s="4">
        <v>6</v>
      </c>
      <c r="C8" s="18">
        <f>+IFERROR(Ingreso!$E30,"")</f>
        <v>0</v>
      </c>
      <c r="D8" s="18">
        <f>+IFERROR(Ingreso!$F30,"")</f>
        <v>0</v>
      </c>
      <c r="E8" s="18" t="str">
        <f>+IFERROR(VLOOKUP(Ingreso!$G30,Lista!$C$4:$D$157,2,FALSE),"")</f>
        <v/>
      </c>
      <c r="F8" s="18" t="str">
        <f>+IFERROR(VLOOKUP(Ingreso!$H30,Lista!$G$4:$H$5,2,FALSE),"")</f>
        <v/>
      </c>
    </row>
    <row r="9" spans="2:6" x14ac:dyDescent="0.3">
      <c r="B9" s="4">
        <v>7</v>
      </c>
      <c r="C9" s="18">
        <f>+IFERROR(Ingreso!$E31,"")</f>
        <v>0</v>
      </c>
      <c r="D9" s="18">
        <f>+IFERROR(Ingreso!$F31,"")</f>
        <v>0</v>
      </c>
      <c r="E9" s="18" t="str">
        <f>+IFERROR(VLOOKUP(Ingreso!$G31,Lista!$C$4:$D$157,2,FALSE),"")</f>
        <v/>
      </c>
      <c r="F9" s="18" t="str">
        <f>+IFERROR(VLOOKUP(Ingreso!$H31,Lista!$G$4:$H$5,2,FALSE),"")</f>
        <v/>
      </c>
    </row>
    <row r="10" spans="2:6" x14ac:dyDescent="0.3">
      <c r="B10" s="4">
        <v>8</v>
      </c>
      <c r="C10" s="18">
        <f>+IFERROR(Ingreso!$E32,"")</f>
        <v>0</v>
      </c>
      <c r="D10" s="18">
        <f>+IFERROR(Ingreso!$F32,"")</f>
        <v>0</v>
      </c>
      <c r="E10" s="18" t="str">
        <f>+IFERROR(VLOOKUP(Ingreso!$G32,Lista!$C$4:$D$157,2,FALSE),"")</f>
        <v/>
      </c>
      <c r="F10" s="18" t="str">
        <f>+IFERROR(VLOOKUP(Ingreso!$H32,Lista!$G$4:$H$5,2,FALSE),"")</f>
        <v/>
      </c>
    </row>
    <row r="11" spans="2:6" x14ac:dyDescent="0.3">
      <c r="B11" s="4">
        <v>9</v>
      </c>
      <c r="C11" s="18">
        <f>+IFERROR(Ingreso!$E33,"")</f>
        <v>0</v>
      </c>
      <c r="D11" s="18">
        <f>+IFERROR(Ingreso!$F33,"")</f>
        <v>0</v>
      </c>
      <c r="E11" s="18" t="str">
        <f>+IFERROR(VLOOKUP(Ingreso!$G33,Lista!$C$4:$D$157,2,FALSE),"")</f>
        <v/>
      </c>
      <c r="F11" s="18" t="str">
        <f>+IFERROR(VLOOKUP(Ingreso!$H33,Lista!$G$4:$H$5,2,FALSE),"")</f>
        <v/>
      </c>
    </row>
    <row r="12" spans="2:6" x14ac:dyDescent="0.3">
      <c r="B12" s="4">
        <v>10</v>
      </c>
      <c r="C12" s="18">
        <f>+IFERROR(Ingreso!$E34,"")</f>
        <v>0</v>
      </c>
      <c r="D12" s="18">
        <f>+IFERROR(Ingreso!$F34,"")</f>
        <v>0</v>
      </c>
      <c r="E12" s="18" t="str">
        <f>+IFERROR(VLOOKUP(Ingreso!$G34,Lista!$C$4:$D$157,2,FALSE),"")</f>
        <v/>
      </c>
      <c r="F12" s="18" t="str">
        <f>+IFERROR(VLOOKUP(Ingreso!$H34,Lista!$G$4:$H$5,2,FALSE),"")</f>
        <v/>
      </c>
    </row>
    <row r="13" spans="2:6" x14ac:dyDescent="0.3">
      <c r="B13" s="18">
        <v>11</v>
      </c>
      <c r="C13" s="18">
        <f>+IFERROR(Ingreso!$E35,"")</f>
        <v>0</v>
      </c>
      <c r="D13" s="18">
        <f>+IFERROR(Ingreso!$F35,"")</f>
        <v>0</v>
      </c>
      <c r="E13" s="18" t="str">
        <f>+IFERROR(VLOOKUP(Ingreso!$G35,Lista!$C$4:$D$157,2,FALSE),"")</f>
        <v/>
      </c>
      <c r="F13" s="18" t="str">
        <f>+IFERROR(VLOOKUP(Ingreso!$H35,Lista!$G$4:$H$5,2,FALSE),"")</f>
        <v/>
      </c>
    </row>
    <row r="14" spans="2:6" x14ac:dyDescent="0.3">
      <c r="B14" s="18">
        <v>12</v>
      </c>
      <c r="C14" s="18">
        <f>+IFERROR(Ingreso!$E36,"")</f>
        <v>0</v>
      </c>
      <c r="D14" s="18">
        <f>+IFERROR(Ingreso!$F36,"")</f>
        <v>0</v>
      </c>
      <c r="E14" s="18" t="str">
        <f>+IFERROR(VLOOKUP(Ingreso!$G36,Lista!$C$4:$D$157,2,FALSE),"")</f>
        <v/>
      </c>
      <c r="F14" s="18" t="str">
        <f>+IFERROR(VLOOKUP(Ingreso!$H36,Lista!$G$4:$H$5,2,FALSE),"")</f>
        <v/>
      </c>
    </row>
    <row r="15" spans="2:6" x14ac:dyDescent="0.3">
      <c r="B15" s="18">
        <v>13</v>
      </c>
      <c r="C15" s="18">
        <f>+IFERROR(Ingreso!$E37,"")</f>
        <v>0</v>
      </c>
      <c r="D15" s="18">
        <f>+IFERROR(Ingreso!$F37,"")</f>
        <v>0</v>
      </c>
      <c r="E15" s="18" t="str">
        <f>+IFERROR(VLOOKUP(Ingreso!$G37,Lista!$C$4:$D$157,2,FALSE),"")</f>
        <v/>
      </c>
      <c r="F15" s="18" t="str">
        <f>+IFERROR(VLOOKUP(Ingreso!$H37,Lista!$G$4:$H$5,2,FALSE),"")</f>
        <v/>
      </c>
    </row>
    <row r="16" spans="2:6" x14ac:dyDescent="0.3">
      <c r="B16" s="18">
        <v>14</v>
      </c>
      <c r="C16" s="18">
        <f>+IFERROR(Ingreso!$E38,"")</f>
        <v>0</v>
      </c>
      <c r="D16" s="18">
        <f>+IFERROR(Ingreso!$F38,"")</f>
        <v>0</v>
      </c>
      <c r="E16" s="18" t="str">
        <f>+IFERROR(VLOOKUP(Ingreso!$G38,Lista!$C$4:$D$157,2,FALSE),"")</f>
        <v/>
      </c>
      <c r="F16" s="18" t="str">
        <f>+IFERROR(VLOOKUP(Ingreso!$H38,Lista!$G$4:$H$5,2,FALSE),"")</f>
        <v/>
      </c>
    </row>
    <row r="17" spans="2:6" x14ac:dyDescent="0.3">
      <c r="B17" s="18">
        <v>15</v>
      </c>
      <c r="C17" s="18">
        <f>+IFERROR(Ingreso!$E39,"")</f>
        <v>0</v>
      </c>
      <c r="D17" s="18">
        <f>+IFERROR(Ingreso!$F39,"")</f>
        <v>0</v>
      </c>
      <c r="E17" s="18" t="str">
        <f>+IFERROR(VLOOKUP(Ingreso!$G39,Lista!$C$4:$D$157,2,FALSE),"")</f>
        <v/>
      </c>
      <c r="F17" s="18" t="str">
        <f>+IFERROR(VLOOKUP(Ingreso!$H39,Lista!$G$4:$H$5,2,FALSE),"")</f>
        <v/>
      </c>
    </row>
  </sheetData>
  <sheetProtection algorithmName="SHA-512" hashValue="drIytNLJWwuHJiBgdkOrvAj+qhnqU2EHQ5sg1Wx3As+QzybjOAEJ4AxgR8FPGZyeYBSadrUq773fdx7hS8/Ubg==" saltValue="Y9oR9B7JYPlVGZ8RD1UHfQ==" spinCount="100000" sheet="1" formatCells="0" formatColumns="0" formatRows="0" insertColumns="0" insertRows="0" insertHyperlinks="0" deleteColumns="0" deleteRows="0" sort="0" autoFilter="0" pivotTables="0"/>
  <customSheetViews>
    <customSheetView guid="{6F4C363F-0186-4625-BDD1-378CC40576FA}" showGridLines="0">
      <selection activeCell="C15" sqref="C1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420E-89A8-4BD1-95E4-6B3CD7AFB1BA}">
  <sheetPr>
    <pageSetUpPr fitToPage="1"/>
  </sheetPr>
  <dimension ref="B1:H21"/>
  <sheetViews>
    <sheetView showGridLines="0" view="pageLayout" zoomScaleNormal="100" workbookViewId="0">
      <selection activeCell="B8" sqref="B8"/>
    </sheetView>
  </sheetViews>
  <sheetFormatPr baseColWidth="10" defaultRowHeight="14.4" x14ac:dyDescent="0.3"/>
  <cols>
    <col min="1" max="1" width="6.44140625" customWidth="1"/>
    <col min="2" max="9" width="9.109375" customWidth="1"/>
  </cols>
  <sheetData>
    <row r="1" spans="2:8" x14ac:dyDescent="0.3">
      <c r="B1" t="s">
        <v>1</v>
      </c>
    </row>
    <row r="2" spans="2:8" x14ac:dyDescent="0.3">
      <c r="B2" s="16" t="s">
        <v>327</v>
      </c>
    </row>
    <row r="3" spans="2:8" x14ac:dyDescent="0.3">
      <c r="B3" s="16" t="s">
        <v>321</v>
      </c>
    </row>
    <row r="7" spans="2:8" x14ac:dyDescent="0.3">
      <c r="B7" s="2" t="s">
        <v>329</v>
      </c>
    </row>
    <row r="8" spans="2:8" x14ac:dyDescent="0.3">
      <c r="B8" s="2" t="s">
        <v>330</v>
      </c>
    </row>
    <row r="9" spans="2:8" x14ac:dyDescent="0.3">
      <c r="B9" s="2"/>
    </row>
    <row r="11" spans="2:8" ht="15" x14ac:dyDescent="0.3">
      <c r="D11" s="3" t="s">
        <v>325</v>
      </c>
      <c r="E11" s="3" t="s">
        <v>2</v>
      </c>
      <c r="F11" s="3" t="s">
        <v>3</v>
      </c>
      <c r="G11" s="3" t="s">
        <v>4</v>
      </c>
      <c r="H11" s="3" t="s">
        <v>5</v>
      </c>
    </row>
    <row r="12" spans="2:8" x14ac:dyDescent="0.3">
      <c r="D12" s="4">
        <v>1</v>
      </c>
      <c r="E12" s="4" t="s">
        <v>328</v>
      </c>
      <c r="F12" s="4">
        <v>1</v>
      </c>
      <c r="G12" s="4" t="s">
        <v>24</v>
      </c>
      <c r="H12" s="4" t="s">
        <v>62</v>
      </c>
    </row>
    <row r="13" spans="2:8" x14ac:dyDescent="0.3">
      <c r="D13" s="4">
        <v>2</v>
      </c>
      <c r="E13" s="4"/>
      <c r="F13" s="4"/>
      <c r="G13" s="4"/>
      <c r="H13" s="4"/>
    </row>
    <row r="14" spans="2:8" x14ac:dyDescent="0.3">
      <c r="D14" s="4">
        <v>3</v>
      </c>
      <c r="E14" s="4"/>
      <c r="F14" s="4"/>
      <c r="G14" s="4"/>
      <c r="H14" s="4"/>
    </row>
    <row r="15" spans="2:8" x14ac:dyDescent="0.3">
      <c r="D15" s="4">
        <v>4</v>
      </c>
      <c r="E15" s="4"/>
      <c r="F15" s="4"/>
      <c r="G15" s="4"/>
      <c r="H15" s="4"/>
    </row>
    <row r="16" spans="2:8" x14ac:dyDescent="0.3">
      <c r="D16" s="4">
        <v>5</v>
      </c>
      <c r="E16" s="4"/>
      <c r="F16" s="4"/>
      <c r="G16" s="4"/>
      <c r="H16" s="4"/>
    </row>
    <row r="17" spans="4:8" x14ac:dyDescent="0.3">
      <c r="D17" s="4">
        <v>6</v>
      </c>
      <c r="E17" s="4"/>
      <c r="F17" s="4"/>
      <c r="G17" s="4"/>
      <c r="H17" s="4"/>
    </row>
    <row r="18" spans="4:8" x14ac:dyDescent="0.3">
      <c r="D18" s="4">
        <v>7</v>
      </c>
      <c r="E18" s="4"/>
      <c r="F18" s="4"/>
      <c r="G18" s="4"/>
      <c r="H18" s="4"/>
    </row>
    <row r="19" spans="4:8" x14ac:dyDescent="0.3">
      <c r="D19" s="4">
        <v>8</v>
      </c>
      <c r="E19" s="4"/>
      <c r="F19" s="4"/>
      <c r="G19" s="4"/>
      <c r="H19" s="4"/>
    </row>
    <row r="20" spans="4:8" x14ac:dyDescent="0.3">
      <c r="D20" s="4">
        <v>9</v>
      </c>
      <c r="E20" s="4"/>
      <c r="F20" s="4"/>
      <c r="G20" s="4"/>
      <c r="H20" s="4"/>
    </row>
    <row r="21" spans="4:8" x14ac:dyDescent="0.3">
      <c r="D21" s="4">
        <v>10</v>
      </c>
      <c r="E21" s="4"/>
      <c r="F21" s="4"/>
      <c r="G21" s="4"/>
      <c r="H21" s="4"/>
    </row>
  </sheetData>
  <pageMargins left="0.23622047244094491" right="0.23622047244094491" top="0.74803149606299213" bottom="0.74803149606299213" header="0.31496062992125984" footer="0.31496062992125984"/>
  <pageSetup fitToWidth="0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F1C233B9-7AF3-4ECE-A49C-227FD9A26482}">
          <x14:formula1>
            <xm:f>Lista!$C$4:$C$157</xm:f>
          </x14:formula1>
          <xm:sqref>G12:G21</xm:sqref>
        </x14:dataValidation>
        <x14:dataValidation type="list" allowBlank="1" showInputMessage="1" showErrorMessage="1" xr:uid="{9CC49AD9-5562-4776-A8B7-5985A20ED1C1}">
          <x14:formula1>
            <xm:f>Lista!$G$4:$G$5</xm:f>
          </x14:formula1>
          <xm:sqref>H12:H21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0560-0C10-400E-B27B-0C5643D242C1}">
  <dimension ref="B1:F17"/>
  <sheetViews>
    <sheetView showGridLines="0" workbookViewId="0">
      <selection activeCell="F14" sqref="F14"/>
    </sheetView>
  </sheetViews>
  <sheetFormatPr baseColWidth="10" defaultRowHeight="14.4" x14ac:dyDescent="0.3"/>
  <cols>
    <col min="3" max="6" width="11.44140625" style="19"/>
  </cols>
  <sheetData>
    <row r="1" spans="2:6" x14ac:dyDescent="0.3">
      <c r="C1"/>
      <c r="D1"/>
      <c r="E1"/>
      <c r="F1"/>
    </row>
    <row r="2" spans="2:6" ht="15" x14ac:dyDescent="0.3">
      <c r="B2" s="3" t="s">
        <v>325</v>
      </c>
      <c r="C2" s="3" t="s">
        <v>2</v>
      </c>
      <c r="D2" s="3" t="s">
        <v>3</v>
      </c>
      <c r="E2" s="3" t="s">
        <v>4</v>
      </c>
      <c r="F2" s="3" t="s">
        <v>5</v>
      </c>
    </row>
    <row r="3" spans="2:6" x14ac:dyDescent="0.3">
      <c r="B3" s="4">
        <v>1</v>
      </c>
      <c r="C3" s="18" t="str">
        <f>+IFERROR(Salida!$E12,"")</f>
        <v>Luis Cuello</v>
      </c>
      <c r="D3" s="18">
        <f>+IFERROR(Salida!$F12,"")</f>
        <v>1</v>
      </c>
      <c r="E3" s="18">
        <f>+IFERROR(VLOOKUP(Salida!$G12,Lista!$C$4:$D$157,2,FALSE),"")</f>
        <v>8</v>
      </c>
      <c r="F3" s="18">
        <f>+IFERROR(VLOOKUP(Salida!$H12,Lista!$G$4:$H$5,2,FALSE),"")</f>
        <v>2</v>
      </c>
    </row>
    <row r="4" spans="2:6" x14ac:dyDescent="0.3">
      <c r="B4" s="4">
        <v>2</v>
      </c>
      <c r="C4" s="18">
        <f>+IFERROR(Salida!$E13,"")</f>
        <v>0</v>
      </c>
      <c r="D4" s="18">
        <f>+IFERROR(Salida!$F13,"")</f>
        <v>0</v>
      </c>
      <c r="E4" s="18" t="str">
        <f>+IFERROR(VLOOKUP(Salida!$G13,Lista!$C$4:$D$157,2,FALSE),"")</f>
        <v/>
      </c>
      <c r="F4" s="18" t="str">
        <f>+IFERROR(VLOOKUP(Salida!$H13,Lista!$G$4:$H$5,2,FALSE),"")</f>
        <v/>
      </c>
    </row>
    <row r="5" spans="2:6" x14ac:dyDescent="0.3">
      <c r="B5" s="4">
        <v>3</v>
      </c>
      <c r="C5" s="18">
        <f>+IFERROR(Salida!$E14,"")</f>
        <v>0</v>
      </c>
      <c r="D5" s="18">
        <f>+IFERROR(Salida!$F14,"")</f>
        <v>0</v>
      </c>
      <c r="E5" s="18" t="str">
        <f>+IFERROR(VLOOKUP(Salida!$G14,Lista!$C$4:$D$157,2,FALSE),"")</f>
        <v/>
      </c>
      <c r="F5" s="18" t="str">
        <f>+IFERROR(VLOOKUP(Salida!$H14,Lista!$G$4:$H$5,2,FALSE),"")</f>
        <v/>
      </c>
    </row>
    <row r="6" spans="2:6" x14ac:dyDescent="0.3">
      <c r="B6" s="4">
        <v>4</v>
      </c>
      <c r="C6" s="18">
        <f>+IFERROR(Salida!$E15,"")</f>
        <v>0</v>
      </c>
      <c r="D6" s="18">
        <f>+IFERROR(Salida!$F15,"")</f>
        <v>0</v>
      </c>
      <c r="E6" s="18" t="str">
        <f>+IFERROR(VLOOKUP(Salida!$G15,Lista!$C$4:$D$157,2,FALSE),"")</f>
        <v/>
      </c>
      <c r="F6" s="18" t="str">
        <f>+IFERROR(VLOOKUP(Salida!$H15,Lista!$G$4:$H$5,2,FALSE),"")</f>
        <v/>
      </c>
    </row>
    <row r="7" spans="2:6" x14ac:dyDescent="0.3">
      <c r="B7" s="4">
        <v>5</v>
      </c>
      <c r="C7" s="18">
        <f>+IFERROR(Salida!$E16,"")</f>
        <v>0</v>
      </c>
      <c r="D7" s="18">
        <f>+IFERROR(Salida!$F16,"")</f>
        <v>0</v>
      </c>
      <c r="E7" s="18" t="str">
        <f>+IFERROR(VLOOKUP(Salida!$G16,Lista!$C$4:$D$157,2,FALSE),"")</f>
        <v/>
      </c>
      <c r="F7" s="18" t="str">
        <f>+IFERROR(VLOOKUP(Salida!$H16,Lista!$G$4:$H$5,2,FALSE),"")</f>
        <v/>
      </c>
    </row>
    <row r="8" spans="2:6" x14ac:dyDescent="0.3">
      <c r="B8" s="4">
        <v>6</v>
      </c>
      <c r="C8" s="18">
        <f>+IFERROR(Salida!$E17,"")</f>
        <v>0</v>
      </c>
      <c r="D8" s="18">
        <f>+IFERROR(Salida!$F17,"")</f>
        <v>0</v>
      </c>
      <c r="E8" s="18" t="str">
        <f>+IFERROR(VLOOKUP(Salida!$G17,Lista!$C$4:$D$157,2,FALSE),"")</f>
        <v/>
      </c>
      <c r="F8" s="18" t="str">
        <f>+IFERROR(VLOOKUP(Salida!$H17,Lista!$G$4:$H$5,2,FALSE),"")</f>
        <v/>
      </c>
    </row>
    <row r="9" spans="2:6" x14ac:dyDescent="0.3">
      <c r="B9" s="4">
        <v>7</v>
      </c>
      <c r="C9" s="18">
        <f>+IFERROR(Salida!$E18,"")</f>
        <v>0</v>
      </c>
      <c r="D9" s="18">
        <f>+IFERROR(Salida!$F18,"")</f>
        <v>0</v>
      </c>
      <c r="E9" s="18" t="str">
        <f>+IFERROR(VLOOKUP(Salida!$G18,Lista!$C$4:$D$157,2,FALSE),"")</f>
        <v/>
      </c>
      <c r="F9" s="18" t="str">
        <f>+IFERROR(VLOOKUP(Salida!$H18,Lista!$G$4:$H$5,2,FALSE),"")</f>
        <v/>
      </c>
    </row>
    <row r="10" spans="2:6" x14ac:dyDescent="0.3">
      <c r="B10" s="4">
        <v>8</v>
      </c>
      <c r="C10" s="18">
        <f>+IFERROR(Salida!$E19,"")</f>
        <v>0</v>
      </c>
      <c r="D10" s="18">
        <f>+IFERROR(Salida!$F19,"")</f>
        <v>0</v>
      </c>
      <c r="E10" s="18" t="str">
        <f>+IFERROR(VLOOKUP(Salida!$G19,Lista!$C$4:$D$157,2,FALSE),"")</f>
        <v/>
      </c>
      <c r="F10" s="18" t="str">
        <f>+IFERROR(VLOOKUP(Salida!$H19,Lista!$G$4:$H$5,2,FALSE),"")</f>
        <v/>
      </c>
    </row>
    <row r="11" spans="2:6" x14ac:dyDescent="0.3">
      <c r="B11" s="4">
        <v>9</v>
      </c>
      <c r="C11" s="18">
        <f>+IFERROR(Salida!$E20,"")</f>
        <v>0</v>
      </c>
      <c r="D11" s="18">
        <f>+IFERROR(Salida!$F20,"")</f>
        <v>0</v>
      </c>
      <c r="E11" s="18" t="str">
        <f>+IFERROR(VLOOKUP(Salida!$G20,Lista!$C$4:$D$157,2,FALSE),"")</f>
        <v/>
      </c>
      <c r="F11" s="18" t="str">
        <f>+IFERROR(VLOOKUP(Salida!$H20,Lista!$G$4:$H$5,2,FALSE),"")</f>
        <v/>
      </c>
    </row>
    <row r="12" spans="2:6" x14ac:dyDescent="0.3">
      <c r="B12" s="4">
        <v>10</v>
      </c>
      <c r="C12" s="18">
        <f>+IFERROR(Salida!$E21,"")</f>
        <v>0</v>
      </c>
      <c r="D12" s="18">
        <f>+IFERROR(Salida!$F21,"")</f>
        <v>0</v>
      </c>
      <c r="E12" s="18" t="str">
        <f>+IFERROR(VLOOKUP(Salida!$G21,Lista!$C$4:$D$157,2,FALSE),"")</f>
        <v/>
      </c>
      <c r="F12" s="18" t="str">
        <f>+IFERROR(VLOOKUP(Salida!$H21,Lista!$G$4:$H$5,2,FALSE),"")</f>
        <v/>
      </c>
    </row>
    <row r="13" spans="2:6" x14ac:dyDescent="0.3">
      <c r="B13" s="18">
        <v>11</v>
      </c>
      <c r="C13" s="18">
        <f>+IFERROR(Salida!$E22,"")</f>
        <v>0</v>
      </c>
      <c r="D13" s="18">
        <f>+IFERROR(Salida!$F22,"")</f>
        <v>0</v>
      </c>
      <c r="E13" s="18" t="str">
        <f>+IFERROR(VLOOKUP(Salida!$G22,Lista!$C$4:$D$157,2,FALSE),"")</f>
        <v/>
      </c>
      <c r="F13" s="18" t="str">
        <f>+IFERROR(VLOOKUP(Salida!$H22,Lista!$G$4:$H$5,2,FALSE),"")</f>
        <v/>
      </c>
    </row>
    <row r="14" spans="2:6" x14ac:dyDescent="0.3">
      <c r="B14" s="18">
        <v>12</v>
      </c>
      <c r="C14" s="18">
        <f>+IFERROR(Salida!$E23,"")</f>
        <v>0</v>
      </c>
      <c r="D14" s="18">
        <f>+IFERROR(Salida!$F23,"")</f>
        <v>0</v>
      </c>
      <c r="E14" s="18" t="str">
        <f>+IFERROR(VLOOKUP(Salida!$G23,Lista!$C$4:$D$157,2,FALSE),"")</f>
        <v/>
      </c>
      <c r="F14" s="18" t="str">
        <f>+IFERROR(VLOOKUP(Salida!$H23,Lista!$G$4:$H$5,2,FALSE),"")</f>
        <v/>
      </c>
    </row>
    <row r="15" spans="2:6" x14ac:dyDescent="0.3">
      <c r="B15" s="18">
        <v>13</v>
      </c>
      <c r="C15" s="18">
        <f>+IFERROR(Salida!$E24,"")</f>
        <v>0</v>
      </c>
      <c r="D15" s="18">
        <f>+IFERROR(Salida!$F24,"")</f>
        <v>0</v>
      </c>
      <c r="E15" s="18" t="str">
        <f>+IFERROR(VLOOKUP(Salida!$G24,Lista!$C$4:$D$157,2,FALSE),"")</f>
        <v/>
      </c>
      <c r="F15" s="18" t="str">
        <f>+IFERROR(VLOOKUP(Salida!$H24,Lista!$G$4:$H$5,2,FALSE),"")</f>
        <v/>
      </c>
    </row>
    <row r="16" spans="2:6" x14ac:dyDescent="0.3">
      <c r="B16" s="18">
        <v>14</v>
      </c>
      <c r="C16" s="18">
        <f>+IFERROR(Salida!$E25,"")</f>
        <v>0</v>
      </c>
      <c r="D16" s="18">
        <f>+IFERROR(Salida!$F25,"")</f>
        <v>0</v>
      </c>
      <c r="E16" s="18" t="str">
        <f>+IFERROR(VLOOKUP(Salida!$G25,Lista!$C$4:$D$157,2,FALSE),"")</f>
        <v/>
      </c>
      <c r="F16" s="18" t="str">
        <f>+IFERROR(VLOOKUP(Salida!$H25,Lista!$G$4:$H$5,2,FALSE),"")</f>
        <v/>
      </c>
    </row>
    <row r="17" spans="2:6" x14ac:dyDescent="0.3">
      <c r="B17" s="18">
        <v>15</v>
      </c>
      <c r="C17" s="18">
        <f>+IFERROR(Salida!$E26,"")</f>
        <v>0</v>
      </c>
      <c r="D17" s="18">
        <f>+IFERROR(Salida!$F26,"")</f>
        <v>0</v>
      </c>
      <c r="E17" s="18" t="str">
        <f>+IFERROR(VLOOKUP(Salida!$G26,Lista!$C$4:$D$157,2,FALSE),"")</f>
        <v/>
      </c>
      <c r="F17" s="18" t="str">
        <f>+IFERROR(VLOOKUP(Salida!$H26,Lista!$G$4:$H$5,2,FALSE),"")</f>
        <v/>
      </c>
    </row>
  </sheetData>
  <sheetProtection algorithmName="SHA-512" hashValue="e2gGN8iHLzoEo9UQPtGle2q9qqWesHfLmyh9a+a5sB8C5tjm5zVV/fpkVlL//4l9S2K1i/INfbeQLqWi+WAkCg==" saltValue="ZChOW2LXuHUUvxILZoXVZg==" spinCount="100000" sheet="1" formatCells="0" formatColumns="0" formatRows="0" insertColumns="0" insertRows="0" insertHyperlinks="0" deleteColumns="0" deleteRows="0" sort="0" autoFilter="0" pivotTables="0"/>
  <customSheetViews>
    <customSheetView guid="{6F4C363F-0186-4625-BDD1-378CC40576FA}" showGridLines="0">
      <selection activeCell="E4" sqref="E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73B29-C4F4-4816-9056-81914121D163}">
  <dimension ref="A1:H157"/>
  <sheetViews>
    <sheetView showGridLines="0" workbookViewId="0">
      <selection activeCell="G9" sqref="G9"/>
    </sheetView>
  </sheetViews>
  <sheetFormatPr baseColWidth="10" defaultColWidth="11.44140625" defaultRowHeight="14.4" x14ac:dyDescent="0.3"/>
  <cols>
    <col min="1" max="1" width="5" customWidth="1"/>
    <col min="2" max="2" width="8.33203125" style="7" bestFit="1" customWidth="1"/>
    <col min="3" max="3" width="19.6640625" style="7" bestFit="1" customWidth="1"/>
    <col min="4" max="4" width="4.44140625" style="7" bestFit="1" customWidth="1"/>
    <col min="5" max="5" width="11.44140625" style="7"/>
    <col min="6" max="6" width="11.5546875"/>
    <col min="7" max="7" width="6.88671875" style="7" bestFit="1" customWidth="1"/>
    <col min="8" max="16384" width="11.44140625" style="7"/>
  </cols>
  <sheetData>
    <row r="1" spans="1:8" ht="13.8" x14ac:dyDescent="0.3">
      <c r="A1" s="7"/>
      <c r="F1" s="7"/>
    </row>
    <row r="2" spans="1:8" thickBot="1" x14ac:dyDescent="0.35">
      <c r="A2" s="7"/>
      <c r="F2" s="7"/>
    </row>
    <row r="3" spans="1:8" ht="15.6" thickBot="1" x14ac:dyDescent="0.35">
      <c r="A3" s="7"/>
      <c r="B3" s="5" t="s">
        <v>7</v>
      </c>
      <c r="C3" s="6" t="s">
        <v>8</v>
      </c>
      <c r="D3" s="5" t="s">
        <v>6</v>
      </c>
      <c r="F3" s="7"/>
      <c r="G3" s="5" t="s">
        <v>5</v>
      </c>
      <c r="H3" s="5" t="s">
        <v>6</v>
      </c>
    </row>
    <row r="4" spans="1:8" ht="15.6" thickBot="1" x14ac:dyDescent="0.35">
      <c r="A4" s="7"/>
      <c r="B4" s="8" t="s">
        <v>9</v>
      </c>
      <c r="C4" s="9" t="s">
        <v>10</v>
      </c>
      <c r="D4" s="8">
        <v>1</v>
      </c>
      <c r="F4" s="7"/>
      <c r="G4" s="9" t="s">
        <v>59</v>
      </c>
      <c r="H4" s="8">
        <v>1</v>
      </c>
    </row>
    <row r="5" spans="1:8" ht="15.6" thickBot="1" x14ac:dyDescent="0.35">
      <c r="A5" s="7"/>
      <c r="B5" s="8" t="s">
        <v>11</v>
      </c>
      <c r="C5" s="9" t="s">
        <v>12</v>
      </c>
      <c r="D5" s="8">
        <v>2</v>
      </c>
      <c r="F5" s="7"/>
      <c r="G5" s="9" t="s">
        <v>62</v>
      </c>
      <c r="H5" s="8">
        <v>2</v>
      </c>
    </row>
    <row r="6" spans="1:8" ht="15.6" thickBot="1" x14ac:dyDescent="0.35">
      <c r="A6" s="7"/>
      <c r="B6" s="8" t="s">
        <v>13</v>
      </c>
      <c r="C6" s="9" t="s">
        <v>14</v>
      </c>
      <c r="D6" s="8">
        <v>3</v>
      </c>
      <c r="F6" s="7"/>
    </row>
    <row r="7" spans="1:8" ht="15.6" thickBot="1" x14ac:dyDescent="0.35">
      <c r="A7" s="7"/>
      <c r="B7" s="8" t="s">
        <v>15</v>
      </c>
      <c r="C7" s="9" t="s">
        <v>16</v>
      </c>
      <c r="D7" s="8">
        <v>4</v>
      </c>
      <c r="F7" s="7"/>
    </row>
    <row r="8" spans="1:8" ht="15.6" thickBot="1" x14ac:dyDescent="0.35">
      <c r="A8" s="7"/>
      <c r="B8" s="8" t="s">
        <v>17</v>
      </c>
      <c r="C8" s="9" t="s">
        <v>18</v>
      </c>
      <c r="D8" s="8">
        <v>5</v>
      </c>
      <c r="F8" s="7"/>
    </row>
    <row r="9" spans="1:8" ht="15.6" thickBot="1" x14ac:dyDescent="0.35">
      <c r="A9" s="7"/>
      <c r="B9" s="8" t="s">
        <v>19</v>
      </c>
      <c r="C9" s="9" t="s">
        <v>20</v>
      </c>
      <c r="D9" s="8">
        <v>6</v>
      </c>
      <c r="F9" s="7"/>
    </row>
    <row r="10" spans="1:8" ht="15.6" thickBot="1" x14ac:dyDescent="0.35">
      <c r="A10" s="7"/>
      <c r="B10" s="8" t="s">
        <v>21</v>
      </c>
      <c r="C10" s="9" t="s">
        <v>22</v>
      </c>
      <c r="D10" s="8">
        <v>7</v>
      </c>
      <c r="F10" s="7"/>
    </row>
    <row r="11" spans="1:8" ht="15.6" thickBot="1" x14ac:dyDescent="0.35">
      <c r="A11" s="7"/>
      <c r="B11" s="8" t="s">
        <v>23</v>
      </c>
      <c r="C11" s="9" t="s">
        <v>24</v>
      </c>
      <c r="D11" s="8">
        <v>8</v>
      </c>
      <c r="F11" s="7"/>
    </row>
    <row r="12" spans="1:8" ht="15.6" thickBot="1" x14ac:dyDescent="0.35">
      <c r="A12" s="7"/>
      <c r="B12" s="8" t="s">
        <v>25</v>
      </c>
      <c r="C12" s="9" t="s">
        <v>26</v>
      </c>
      <c r="D12" s="8">
        <v>9</v>
      </c>
      <c r="F12" s="7"/>
    </row>
    <row r="13" spans="1:8" ht="15.6" thickBot="1" x14ac:dyDescent="0.35">
      <c r="A13" s="7"/>
      <c r="B13" s="8" t="s">
        <v>27</v>
      </c>
      <c r="C13" s="9" t="s">
        <v>28</v>
      </c>
      <c r="D13" s="8">
        <v>10</v>
      </c>
      <c r="F13" s="7"/>
    </row>
    <row r="14" spans="1:8" ht="15.6" thickBot="1" x14ac:dyDescent="0.35">
      <c r="A14" s="7"/>
      <c r="B14" s="8" t="s">
        <v>29</v>
      </c>
      <c r="C14" s="9" t="s">
        <v>30</v>
      </c>
      <c r="D14" s="8">
        <v>11</v>
      </c>
      <c r="F14" s="7"/>
    </row>
    <row r="15" spans="1:8" ht="15.6" thickBot="1" x14ac:dyDescent="0.35">
      <c r="A15" s="7"/>
      <c r="B15" s="8" t="s">
        <v>31</v>
      </c>
      <c r="C15" s="9" t="s">
        <v>32</v>
      </c>
      <c r="D15" s="8">
        <v>12</v>
      </c>
      <c r="F15" s="7"/>
    </row>
    <row r="16" spans="1:8" ht="15.6" thickBot="1" x14ac:dyDescent="0.35">
      <c r="A16" s="7"/>
      <c r="B16" s="8" t="s">
        <v>33</v>
      </c>
      <c r="C16" s="9" t="s">
        <v>34</v>
      </c>
      <c r="D16" s="8">
        <v>13</v>
      </c>
      <c r="F16" s="7"/>
    </row>
    <row r="17" spans="2:4" s="7" customFormat="1" ht="15.6" thickBot="1" x14ac:dyDescent="0.35">
      <c r="B17" s="8" t="s">
        <v>35</v>
      </c>
      <c r="C17" s="9" t="s">
        <v>36</v>
      </c>
      <c r="D17" s="8">
        <v>14</v>
      </c>
    </row>
    <row r="18" spans="2:4" s="7" customFormat="1" ht="15.6" thickBot="1" x14ac:dyDescent="0.35">
      <c r="B18" s="8" t="s">
        <v>37</v>
      </c>
      <c r="C18" s="9" t="s">
        <v>38</v>
      </c>
      <c r="D18" s="8">
        <v>15</v>
      </c>
    </row>
    <row r="19" spans="2:4" s="7" customFormat="1" ht="15.6" thickBot="1" x14ac:dyDescent="0.35">
      <c r="B19" s="8" t="s">
        <v>39</v>
      </c>
      <c r="C19" s="9" t="s">
        <v>40</v>
      </c>
      <c r="D19" s="8">
        <v>16</v>
      </c>
    </row>
    <row r="20" spans="2:4" s="7" customFormat="1" ht="15.6" thickBot="1" x14ac:dyDescent="0.35">
      <c r="B20" s="10" t="s">
        <v>41</v>
      </c>
      <c r="C20" s="11" t="s">
        <v>42</v>
      </c>
      <c r="D20" s="10">
        <v>17</v>
      </c>
    </row>
    <row r="21" spans="2:4" s="7" customFormat="1" ht="15.6" thickBot="1" x14ac:dyDescent="0.35">
      <c r="B21" s="8" t="s">
        <v>43</v>
      </c>
      <c r="C21" s="9" t="s">
        <v>44</v>
      </c>
      <c r="D21" s="8">
        <v>18</v>
      </c>
    </row>
    <row r="22" spans="2:4" s="7" customFormat="1" ht="15.6" thickBot="1" x14ac:dyDescent="0.35">
      <c r="B22" s="8" t="s">
        <v>45</v>
      </c>
      <c r="C22" s="9" t="s">
        <v>46</v>
      </c>
      <c r="D22" s="8">
        <v>19</v>
      </c>
    </row>
    <row r="23" spans="2:4" s="7" customFormat="1" ht="15.6" thickBot="1" x14ac:dyDescent="0.35">
      <c r="B23" s="8" t="s">
        <v>47</v>
      </c>
      <c r="C23" s="9" t="s">
        <v>48</v>
      </c>
      <c r="D23" s="8">
        <v>20</v>
      </c>
    </row>
    <row r="24" spans="2:4" s="7" customFormat="1" ht="15.6" thickBot="1" x14ac:dyDescent="0.35">
      <c r="B24" s="10" t="s">
        <v>49</v>
      </c>
      <c r="C24" s="11" t="s">
        <v>50</v>
      </c>
      <c r="D24" s="10">
        <v>21</v>
      </c>
    </row>
    <row r="25" spans="2:4" s="7" customFormat="1" ht="15.6" thickBot="1" x14ac:dyDescent="0.35">
      <c r="B25" s="8" t="s">
        <v>51</v>
      </c>
      <c r="C25" s="9" t="s">
        <v>52</v>
      </c>
      <c r="D25" s="8">
        <v>22</v>
      </c>
    </row>
    <row r="26" spans="2:4" s="7" customFormat="1" ht="15.6" thickBot="1" x14ac:dyDescent="0.35">
      <c r="B26" s="8" t="s">
        <v>53</v>
      </c>
      <c r="C26" s="9" t="s">
        <v>54</v>
      </c>
      <c r="D26" s="8">
        <v>23</v>
      </c>
    </row>
    <row r="27" spans="2:4" s="7" customFormat="1" ht="15.6" thickBot="1" x14ac:dyDescent="0.35">
      <c r="B27" s="8" t="s">
        <v>55</v>
      </c>
      <c r="C27" s="9" t="s">
        <v>56</v>
      </c>
      <c r="D27" s="8">
        <v>24</v>
      </c>
    </row>
    <row r="28" spans="2:4" s="7" customFormat="1" ht="15.6" thickBot="1" x14ac:dyDescent="0.35">
      <c r="B28" s="8" t="s">
        <v>57</v>
      </c>
      <c r="C28" s="9" t="s">
        <v>58</v>
      </c>
      <c r="D28" s="8">
        <v>25</v>
      </c>
    </row>
    <row r="29" spans="2:4" s="7" customFormat="1" ht="15.6" thickBot="1" x14ac:dyDescent="0.35">
      <c r="B29" s="12" t="s">
        <v>63</v>
      </c>
      <c r="C29" s="13" t="s">
        <v>64</v>
      </c>
      <c r="D29" s="12">
        <v>26</v>
      </c>
    </row>
    <row r="30" spans="2:4" s="7" customFormat="1" ht="15.6" thickBot="1" x14ac:dyDescent="0.35">
      <c r="B30" s="14" t="s">
        <v>65</v>
      </c>
      <c r="C30" s="15" t="s">
        <v>66</v>
      </c>
      <c r="D30" s="14">
        <v>27</v>
      </c>
    </row>
    <row r="31" spans="2:4" s="7" customFormat="1" ht="15.6" thickBot="1" x14ac:dyDescent="0.35">
      <c r="B31" s="14" t="s">
        <v>67</v>
      </c>
      <c r="C31" s="15" t="s">
        <v>68</v>
      </c>
      <c r="D31" s="14">
        <v>28</v>
      </c>
    </row>
    <row r="32" spans="2:4" s="7" customFormat="1" ht="15.6" thickBot="1" x14ac:dyDescent="0.35">
      <c r="B32" s="14" t="s">
        <v>69</v>
      </c>
      <c r="C32" s="15" t="s">
        <v>70</v>
      </c>
      <c r="D32" s="14">
        <v>29</v>
      </c>
    </row>
    <row r="33" spans="2:4" s="7" customFormat="1" ht="15.6" thickBot="1" x14ac:dyDescent="0.35">
      <c r="B33" s="14" t="s">
        <v>71</v>
      </c>
      <c r="C33" s="15" t="s">
        <v>72</v>
      </c>
      <c r="D33" s="14">
        <v>30</v>
      </c>
    </row>
    <row r="34" spans="2:4" s="7" customFormat="1" ht="15.6" thickBot="1" x14ac:dyDescent="0.35">
      <c r="B34" s="12" t="s">
        <v>73</v>
      </c>
      <c r="C34" s="13" t="s">
        <v>74</v>
      </c>
      <c r="D34" s="12">
        <v>31</v>
      </c>
    </row>
    <row r="35" spans="2:4" s="7" customFormat="1" ht="15.6" thickBot="1" x14ac:dyDescent="0.35">
      <c r="B35" s="14" t="s">
        <v>75</v>
      </c>
      <c r="C35" s="15" t="s">
        <v>76</v>
      </c>
      <c r="D35" s="14">
        <v>32</v>
      </c>
    </row>
    <row r="36" spans="2:4" s="7" customFormat="1" ht="15.6" thickBot="1" x14ac:dyDescent="0.35">
      <c r="B36" s="14" t="s">
        <v>77</v>
      </c>
      <c r="C36" s="15" t="s">
        <v>78</v>
      </c>
      <c r="D36" s="14">
        <v>33</v>
      </c>
    </row>
    <row r="37" spans="2:4" s="7" customFormat="1" ht="15.6" thickBot="1" x14ac:dyDescent="0.35">
      <c r="B37" s="14" t="s">
        <v>79</v>
      </c>
      <c r="C37" s="15" t="s">
        <v>80</v>
      </c>
      <c r="D37" s="14">
        <v>34</v>
      </c>
    </row>
    <row r="38" spans="2:4" s="7" customFormat="1" ht="15.6" thickBot="1" x14ac:dyDescent="0.35">
      <c r="B38" s="14" t="s">
        <v>81</v>
      </c>
      <c r="C38" s="15" t="s">
        <v>82</v>
      </c>
      <c r="D38" s="14">
        <v>35</v>
      </c>
    </row>
    <row r="39" spans="2:4" s="7" customFormat="1" ht="15.6" thickBot="1" x14ac:dyDescent="0.35">
      <c r="B39" s="12" t="s">
        <v>83</v>
      </c>
      <c r="C39" s="13" t="s">
        <v>84</v>
      </c>
      <c r="D39" s="12">
        <v>36</v>
      </c>
    </row>
    <row r="40" spans="2:4" s="7" customFormat="1" ht="15.6" thickBot="1" x14ac:dyDescent="0.35">
      <c r="B40" s="14" t="s">
        <v>85</v>
      </c>
      <c r="C40" s="15" t="s">
        <v>86</v>
      </c>
      <c r="D40" s="14">
        <v>37</v>
      </c>
    </row>
    <row r="41" spans="2:4" s="7" customFormat="1" ht="15.6" thickBot="1" x14ac:dyDescent="0.35">
      <c r="B41" s="14" t="s">
        <v>87</v>
      </c>
      <c r="C41" s="15" t="s">
        <v>88</v>
      </c>
      <c r="D41" s="14">
        <v>38</v>
      </c>
    </row>
    <row r="42" spans="2:4" s="7" customFormat="1" ht="15.6" thickBot="1" x14ac:dyDescent="0.35">
      <c r="B42" s="14" t="s">
        <v>89</v>
      </c>
      <c r="C42" s="15" t="s">
        <v>90</v>
      </c>
      <c r="D42" s="14">
        <v>39</v>
      </c>
    </row>
    <row r="43" spans="2:4" s="7" customFormat="1" ht="15.6" thickBot="1" x14ac:dyDescent="0.35">
      <c r="B43" s="14" t="s">
        <v>91</v>
      </c>
      <c r="C43" s="15" t="s">
        <v>92</v>
      </c>
      <c r="D43" s="14">
        <v>40</v>
      </c>
    </row>
    <row r="44" spans="2:4" s="7" customFormat="1" ht="15.6" thickBot="1" x14ac:dyDescent="0.35">
      <c r="B44" s="12" t="s">
        <v>93</v>
      </c>
      <c r="C44" s="13" t="s">
        <v>94</v>
      </c>
      <c r="D44" s="12">
        <v>41</v>
      </c>
    </row>
    <row r="45" spans="2:4" s="7" customFormat="1" ht="15.6" thickBot="1" x14ac:dyDescent="0.35">
      <c r="B45" s="14" t="s">
        <v>95</v>
      </c>
      <c r="C45" s="15" t="s">
        <v>96</v>
      </c>
      <c r="D45" s="14">
        <v>42</v>
      </c>
    </row>
    <row r="46" spans="2:4" s="7" customFormat="1" ht="15.6" thickBot="1" x14ac:dyDescent="0.35">
      <c r="B46" s="14" t="s">
        <v>97</v>
      </c>
      <c r="C46" s="15" t="s">
        <v>98</v>
      </c>
      <c r="D46" s="14">
        <v>43</v>
      </c>
    </row>
    <row r="47" spans="2:4" s="7" customFormat="1" ht="15.6" thickBot="1" x14ac:dyDescent="0.35">
      <c r="B47" s="14" t="s">
        <v>99</v>
      </c>
      <c r="C47" s="15" t="s">
        <v>100</v>
      </c>
      <c r="D47" s="14">
        <v>44</v>
      </c>
    </row>
    <row r="48" spans="2:4" s="7" customFormat="1" ht="15.6" thickBot="1" x14ac:dyDescent="0.35">
      <c r="B48" s="14" t="s">
        <v>101</v>
      </c>
      <c r="C48" s="15" t="s">
        <v>102</v>
      </c>
      <c r="D48" s="14">
        <v>45</v>
      </c>
    </row>
    <row r="49" spans="2:4" s="7" customFormat="1" ht="15.6" thickBot="1" x14ac:dyDescent="0.35">
      <c r="B49" s="12" t="s">
        <v>103</v>
      </c>
      <c r="C49" s="13" t="s">
        <v>104</v>
      </c>
      <c r="D49" s="12">
        <v>46</v>
      </c>
    </row>
    <row r="50" spans="2:4" s="7" customFormat="1" ht="15.6" thickBot="1" x14ac:dyDescent="0.35">
      <c r="B50" s="14" t="s">
        <v>105</v>
      </c>
      <c r="C50" s="15" t="s">
        <v>106</v>
      </c>
      <c r="D50" s="14">
        <v>47</v>
      </c>
    </row>
    <row r="51" spans="2:4" s="7" customFormat="1" ht="15.6" thickBot="1" x14ac:dyDescent="0.35">
      <c r="B51" s="14" t="s">
        <v>107</v>
      </c>
      <c r="C51" s="15" t="s">
        <v>108</v>
      </c>
      <c r="D51" s="14">
        <v>48</v>
      </c>
    </row>
    <row r="52" spans="2:4" s="7" customFormat="1" ht="15.6" thickBot="1" x14ac:dyDescent="0.35">
      <c r="B52" s="14" t="s">
        <v>109</v>
      </c>
      <c r="C52" s="15" t="s">
        <v>110</v>
      </c>
      <c r="D52" s="14">
        <v>49</v>
      </c>
    </row>
    <row r="53" spans="2:4" s="7" customFormat="1" ht="15.6" thickBot="1" x14ac:dyDescent="0.35">
      <c r="B53" s="14" t="s">
        <v>111</v>
      </c>
      <c r="C53" s="15" t="s">
        <v>112</v>
      </c>
      <c r="D53" s="14">
        <v>50</v>
      </c>
    </row>
    <row r="54" spans="2:4" s="7" customFormat="1" ht="30.6" thickBot="1" x14ac:dyDescent="0.35">
      <c r="B54" s="12" t="s">
        <v>113</v>
      </c>
      <c r="C54" s="13" t="s">
        <v>114</v>
      </c>
      <c r="D54" s="12">
        <v>51</v>
      </c>
    </row>
    <row r="55" spans="2:4" s="7" customFormat="1" ht="15.6" thickBot="1" x14ac:dyDescent="0.35">
      <c r="B55" s="14" t="s">
        <v>115</v>
      </c>
      <c r="C55" s="15" t="s">
        <v>116</v>
      </c>
      <c r="D55" s="14">
        <v>52</v>
      </c>
    </row>
    <row r="56" spans="2:4" s="7" customFormat="1" ht="15.6" thickBot="1" x14ac:dyDescent="0.35">
      <c r="B56" s="14" t="s">
        <v>117</v>
      </c>
      <c r="C56" s="15" t="s">
        <v>118</v>
      </c>
      <c r="D56" s="14">
        <v>53</v>
      </c>
    </row>
    <row r="57" spans="2:4" s="7" customFormat="1" ht="15.6" thickBot="1" x14ac:dyDescent="0.35">
      <c r="B57" s="14" t="s">
        <v>119</v>
      </c>
      <c r="C57" s="15" t="s">
        <v>120</v>
      </c>
      <c r="D57" s="14">
        <v>54</v>
      </c>
    </row>
    <row r="58" spans="2:4" s="7" customFormat="1" ht="15.6" thickBot="1" x14ac:dyDescent="0.35">
      <c r="B58" s="14" t="s">
        <v>121</v>
      </c>
      <c r="C58" s="15" t="s">
        <v>122</v>
      </c>
      <c r="D58" s="14">
        <v>55</v>
      </c>
    </row>
    <row r="59" spans="2:4" s="7" customFormat="1" ht="15.6" thickBot="1" x14ac:dyDescent="0.35">
      <c r="B59" s="12" t="s">
        <v>123</v>
      </c>
      <c r="C59" s="13" t="s">
        <v>124</v>
      </c>
      <c r="D59" s="12">
        <v>56</v>
      </c>
    </row>
    <row r="60" spans="2:4" s="7" customFormat="1" ht="15.6" thickBot="1" x14ac:dyDescent="0.35">
      <c r="B60" s="14" t="s">
        <v>125</v>
      </c>
      <c r="C60" s="15" t="s">
        <v>126</v>
      </c>
      <c r="D60" s="14">
        <v>57</v>
      </c>
    </row>
    <row r="61" spans="2:4" s="7" customFormat="1" ht="15.6" thickBot="1" x14ac:dyDescent="0.35">
      <c r="B61" s="14" t="s">
        <v>127</v>
      </c>
      <c r="C61" s="15" t="s">
        <v>128</v>
      </c>
      <c r="D61" s="14">
        <v>58</v>
      </c>
    </row>
    <row r="62" spans="2:4" s="7" customFormat="1" ht="15.6" thickBot="1" x14ac:dyDescent="0.35">
      <c r="B62" s="14" t="s">
        <v>129</v>
      </c>
      <c r="C62" s="15" t="s">
        <v>130</v>
      </c>
      <c r="D62" s="14">
        <v>59</v>
      </c>
    </row>
    <row r="63" spans="2:4" s="7" customFormat="1" ht="15.6" thickBot="1" x14ac:dyDescent="0.35">
      <c r="B63" s="14" t="s">
        <v>131</v>
      </c>
      <c r="C63" s="15" t="s">
        <v>132</v>
      </c>
      <c r="D63" s="14">
        <v>60</v>
      </c>
    </row>
    <row r="64" spans="2:4" s="7" customFormat="1" ht="15.6" thickBot="1" x14ac:dyDescent="0.35">
      <c r="B64" s="12" t="s">
        <v>133</v>
      </c>
      <c r="C64" s="13" t="s">
        <v>134</v>
      </c>
      <c r="D64" s="12">
        <v>61</v>
      </c>
    </row>
    <row r="65" spans="2:4" s="7" customFormat="1" ht="15.6" thickBot="1" x14ac:dyDescent="0.35">
      <c r="B65" s="14" t="s">
        <v>135</v>
      </c>
      <c r="C65" s="15" t="s">
        <v>136</v>
      </c>
      <c r="D65" s="14">
        <v>62</v>
      </c>
    </row>
    <row r="66" spans="2:4" s="7" customFormat="1" ht="15.6" thickBot="1" x14ac:dyDescent="0.35">
      <c r="B66" s="14" t="s">
        <v>137</v>
      </c>
      <c r="C66" s="15" t="s">
        <v>138</v>
      </c>
      <c r="D66" s="14">
        <v>63</v>
      </c>
    </row>
    <row r="67" spans="2:4" s="7" customFormat="1" ht="15.6" thickBot="1" x14ac:dyDescent="0.35">
      <c r="B67" s="14" t="s">
        <v>139</v>
      </c>
      <c r="C67" s="15" t="s">
        <v>140</v>
      </c>
      <c r="D67" s="14">
        <v>64</v>
      </c>
    </row>
    <row r="68" spans="2:4" s="7" customFormat="1" ht="15.6" thickBot="1" x14ac:dyDescent="0.35">
      <c r="B68" s="14" t="s">
        <v>141</v>
      </c>
      <c r="C68" s="15" t="s">
        <v>142</v>
      </c>
      <c r="D68" s="14">
        <v>65</v>
      </c>
    </row>
    <row r="69" spans="2:4" s="7" customFormat="1" ht="15.6" thickBot="1" x14ac:dyDescent="0.35">
      <c r="B69" s="12" t="s">
        <v>143</v>
      </c>
      <c r="C69" s="13" t="s">
        <v>144</v>
      </c>
      <c r="D69" s="12">
        <v>66</v>
      </c>
    </row>
    <row r="70" spans="2:4" s="7" customFormat="1" ht="30.6" thickBot="1" x14ac:dyDescent="0.35">
      <c r="B70" s="14" t="s">
        <v>145</v>
      </c>
      <c r="C70" s="15" t="s">
        <v>146</v>
      </c>
      <c r="D70" s="14">
        <v>67</v>
      </c>
    </row>
    <row r="71" spans="2:4" s="7" customFormat="1" ht="15.6" thickBot="1" x14ac:dyDescent="0.35">
      <c r="B71" s="14" t="s">
        <v>147</v>
      </c>
      <c r="C71" s="15" t="s">
        <v>148</v>
      </c>
      <c r="D71" s="14">
        <v>68</v>
      </c>
    </row>
    <row r="72" spans="2:4" s="7" customFormat="1" ht="30.6" thickBot="1" x14ac:dyDescent="0.35">
      <c r="B72" s="14" t="s">
        <v>149</v>
      </c>
      <c r="C72" s="15" t="s">
        <v>150</v>
      </c>
      <c r="D72" s="14">
        <v>69</v>
      </c>
    </row>
    <row r="73" spans="2:4" s="7" customFormat="1" ht="45.6" thickBot="1" x14ac:dyDescent="0.35">
      <c r="B73" s="14" t="s">
        <v>151</v>
      </c>
      <c r="C73" s="15" t="s">
        <v>152</v>
      </c>
      <c r="D73" s="14">
        <v>70</v>
      </c>
    </row>
    <row r="74" spans="2:4" s="7" customFormat="1" ht="30.6" thickBot="1" x14ac:dyDescent="0.35">
      <c r="B74" s="12" t="s">
        <v>153</v>
      </c>
      <c r="C74" s="13" t="s">
        <v>154</v>
      </c>
      <c r="D74" s="12">
        <v>71</v>
      </c>
    </row>
    <row r="75" spans="2:4" s="7" customFormat="1" ht="30.6" thickBot="1" x14ac:dyDescent="0.35">
      <c r="B75" s="14" t="s">
        <v>155</v>
      </c>
      <c r="C75" s="15" t="s">
        <v>156</v>
      </c>
      <c r="D75" s="14">
        <v>72</v>
      </c>
    </row>
    <row r="76" spans="2:4" s="7" customFormat="1" ht="15.6" thickBot="1" x14ac:dyDescent="0.35">
      <c r="B76" s="14" t="s">
        <v>157</v>
      </c>
      <c r="C76" s="15" t="s">
        <v>158</v>
      </c>
      <c r="D76" s="14">
        <v>73</v>
      </c>
    </row>
    <row r="77" spans="2:4" s="7" customFormat="1" ht="15.6" thickBot="1" x14ac:dyDescent="0.35">
      <c r="B77" s="14" t="s">
        <v>159</v>
      </c>
      <c r="C77" s="15" t="s">
        <v>160</v>
      </c>
      <c r="D77" s="14">
        <v>74</v>
      </c>
    </row>
    <row r="78" spans="2:4" s="7" customFormat="1" ht="15.6" thickBot="1" x14ac:dyDescent="0.35">
      <c r="B78" s="14" t="s">
        <v>161</v>
      </c>
      <c r="C78" s="15" t="s">
        <v>162</v>
      </c>
      <c r="D78" s="14">
        <v>75</v>
      </c>
    </row>
    <row r="79" spans="2:4" s="7" customFormat="1" ht="15.6" thickBot="1" x14ac:dyDescent="0.35">
      <c r="B79" s="12" t="s">
        <v>163</v>
      </c>
      <c r="C79" s="13" t="s">
        <v>164</v>
      </c>
      <c r="D79" s="12">
        <v>76</v>
      </c>
    </row>
    <row r="80" spans="2:4" s="7" customFormat="1" ht="30.6" thickBot="1" x14ac:dyDescent="0.35">
      <c r="B80" s="14" t="s">
        <v>165</v>
      </c>
      <c r="C80" s="15" t="s">
        <v>166</v>
      </c>
      <c r="D80" s="14">
        <v>77</v>
      </c>
    </row>
    <row r="81" spans="2:4" s="7" customFormat="1" ht="15.6" thickBot="1" x14ac:dyDescent="0.35">
      <c r="B81" s="14" t="s">
        <v>167</v>
      </c>
      <c r="C81" s="15" t="s">
        <v>168</v>
      </c>
      <c r="D81" s="14">
        <v>78</v>
      </c>
    </row>
    <row r="82" spans="2:4" s="7" customFormat="1" ht="15.6" thickBot="1" x14ac:dyDescent="0.35">
      <c r="B82" s="14" t="s">
        <v>169</v>
      </c>
      <c r="C82" s="15" t="s">
        <v>170</v>
      </c>
      <c r="D82" s="14">
        <v>79</v>
      </c>
    </row>
    <row r="83" spans="2:4" s="7" customFormat="1" ht="15.6" thickBot="1" x14ac:dyDescent="0.35">
      <c r="B83" s="14" t="s">
        <v>171</v>
      </c>
      <c r="C83" s="15" t="s">
        <v>172</v>
      </c>
      <c r="D83" s="14">
        <v>80</v>
      </c>
    </row>
    <row r="84" spans="2:4" s="7" customFormat="1" ht="15.6" thickBot="1" x14ac:dyDescent="0.35">
      <c r="B84" s="12" t="s">
        <v>173</v>
      </c>
      <c r="C84" s="13" t="s">
        <v>174</v>
      </c>
      <c r="D84" s="12">
        <v>81</v>
      </c>
    </row>
    <row r="85" spans="2:4" s="7" customFormat="1" ht="30.6" thickBot="1" x14ac:dyDescent="0.35">
      <c r="B85" s="14" t="s">
        <v>175</v>
      </c>
      <c r="C85" s="15" t="s">
        <v>176</v>
      </c>
      <c r="D85" s="14">
        <v>82</v>
      </c>
    </row>
    <row r="86" spans="2:4" s="7" customFormat="1" ht="15.6" thickBot="1" x14ac:dyDescent="0.35">
      <c r="B86" s="14" t="s">
        <v>177</v>
      </c>
      <c r="C86" s="15" t="s">
        <v>178</v>
      </c>
      <c r="D86" s="14">
        <v>83</v>
      </c>
    </row>
    <row r="87" spans="2:4" s="7" customFormat="1" ht="30.6" thickBot="1" x14ac:dyDescent="0.35">
      <c r="B87" s="14" t="s">
        <v>179</v>
      </c>
      <c r="C87" s="15" t="s">
        <v>180</v>
      </c>
      <c r="D87" s="14">
        <v>84</v>
      </c>
    </row>
    <row r="88" spans="2:4" s="7" customFormat="1" ht="15.6" thickBot="1" x14ac:dyDescent="0.35">
      <c r="B88" s="14" t="s">
        <v>181</v>
      </c>
      <c r="C88" s="15" t="s">
        <v>182</v>
      </c>
      <c r="D88" s="14">
        <v>85</v>
      </c>
    </row>
    <row r="89" spans="2:4" s="7" customFormat="1" ht="30.6" thickBot="1" x14ac:dyDescent="0.35">
      <c r="B89" s="12" t="s">
        <v>183</v>
      </c>
      <c r="C89" s="13" t="s">
        <v>184</v>
      </c>
      <c r="D89" s="12">
        <v>86</v>
      </c>
    </row>
    <row r="90" spans="2:4" s="7" customFormat="1" ht="15.6" thickBot="1" x14ac:dyDescent="0.35">
      <c r="B90" s="14" t="s">
        <v>185</v>
      </c>
      <c r="C90" s="15" t="s">
        <v>186</v>
      </c>
      <c r="D90" s="14">
        <v>87</v>
      </c>
    </row>
    <row r="91" spans="2:4" s="7" customFormat="1" ht="30.6" thickBot="1" x14ac:dyDescent="0.35">
      <c r="B91" s="14" t="s">
        <v>187</v>
      </c>
      <c r="C91" s="15" t="s">
        <v>188</v>
      </c>
      <c r="D91" s="14">
        <v>88</v>
      </c>
    </row>
    <row r="92" spans="2:4" s="7" customFormat="1" ht="30.6" thickBot="1" x14ac:dyDescent="0.35">
      <c r="B92" s="14" t="s">
        <v>189</v>
      </c>
      <c r="C92" s="15" t="s">
        <v>190</v>
      </c>
      <c r="D92" s="14">
        <v>89</v>
      </c>
    </row>
    <row r="93" spans="2:4" s="7" customFormat="1" ht="15.6" thickBot="1" x14ac:dyDescent="0.35">
      <c r="B93" s="14" t="s">
        <v>191</v>
      </c>
      <c r="C93" s="15" t="s">
        <v>192</v>
      </c>
      <c r="D93" s="14">
        <v>90</v>
      </c>
    </row>
    <row r="94" spans="2:4" s="7" customFormat="1" ht="15.6" thickBot="1" x14ac:dyDescent="0.35">
      <c r="B94" s="12" t="s">
        <v>193</v>
      </c>
      <c r="C94" s="13" t="s">
        <v>194</v>
      </c>
      <c r="D94" s="12">
        <v>91</v>
      </c>
    </row>
    <row r="95" spans="2:4" s="7" customFormat="1" ht="15.6" thickBot="1" x14ac:dyDescent="0.35">
      <c r="B95" s="14" t="s">
        <v>195</v>
      </c>
      <c r="C95" s="15" t="s">
        <v>196</v>
      </c>
      <c r="D95" s="14">
        <v>92</v>
      </c>
    </row>
    <row r="96" spans="2:4" s="7" customFormat="1" ht="15.6" thickBot="1" x14ac:dyDescent="0.35">
      <c r="B96" s="14" t="s">
        <v>197</v>
      </c>
      <c r="C96" s="15" t="s">
        <v>198</v>
      </c>
      <c r="D96" s="14">
        <v>93</v>
      </c>
    </row>
    <row r="97" spans="2:4" s="7" customFormat="1" ht="15.6" thickBot="1" x14ac:dyDescent="0.35">
      <c r="B97" s="14" t="s">
        <v>199</v>
      </c>
      <c r="C97" s="15" t="s">
        <v>200</v>
      </c>
      <c r="D97" s="14">
        <v>94</v>
      </c>
    </row>
    <row r="98" spans="2:4" s="7" customFormat="1" ht="15.6" thickBot="1" x14ac:dyDescent="0.35">
      <c r="B98" s="14" t="s">
        <v>201</v>
      </c>
      <c r="C98" s="15" t="s">
        <v>202</v>
      </c>
      <c r="D98" s="14">
        <v>95</v>
      </c>
    </row>
    <row r="99" spans="2:4" s="7" customFormat="1" ht="15.6" thickBot="1" x14ac:dyDescent="0.35">
      <c r="B99" s="12" t="s">
        <v>203</v>
      </c>
      <c r="C99" s="13" t="s">
        <v>204</v>
      </c>
      <c r="D99" s="12">
        <v>96</v>
      </c>
    </row>
    <row r="100" spans="2:4" s="7" customFormat="1" ht="15.6" thickBot="1" x14ac:dyDescent="0.35">
      <c r="B100" s="14" t="s">
        <v>205</v>
      </c>
      <c r="C100" s="15" t="s">
        <v>206</v>
      </c>
      <c r="D100" s="14">
        <v>97</v>
      </c>
    </row>
    <row r="101" spans="2:4" s="7" customFormat="1" ht="15.6" thickBot="1" x14ac:dyDescent="0.35">
      <c r="B101" s="14" t="s">
        <v>207</v>
      </c>
      <c r="C101" s="15" t="s">
        <v>208</v>
      </c>
      <c r="D101" s="14">
        <v>98</v>
      </c>
    </row>
    <row r="102" spans="2:4" s="7" customFormat="1" ht="15.6" thickBot="1" x14ac:dyDescent="0.35">
      <c r="B102" s="14" t="s">
        <v>209</v>
      </c>
      <c r="C102" s="15" t="s">
        <v>210</v>
      </c>
      <c r="D102" s="14">
        <v>99</v>
      </c>
    </row>
    <row r="103" spans="2:4" s="7" customFormat="1" ht="15.6" thickBot="1" x14ac:dyDescent="0.35">
      <c r="B103" s="14" t="s">
        <v>211</v>
      </c>
      <c r="C103" s="15" t="s">
        <v>212</v>
      </c>
      <c r="D103" s="14">
        <v>100</v>
      </c>
    </row>
    <row r="104" spans="2:4" s="7" customFormat="1" ht="30.6" thickBot="1" x14ac:dyDescent="0.35">
      <c r="B104" s="12" t="s">
        <v>213</v>
      </c>
      <c r="C104" s="13" t="s">
        <v>214</v>
      </c>
      <c r="D104" s="12">
        <v>101</v>
      </c>
    </row>
    <row r="105" spans="2:4" s="7" customFormat="1" ht="30.6" thickBot="1" x14ac:dyDescent="0.35">
      <c r="B105" s="14" t="s">
        <v>215</v>
      </c>
      <c r="C105" s="15" t="s">
        <v>216</v>
      </c>
      <c r="D105" s="14">
        <v>102</v>
      </c>
    </row>
    <row r="106" spans="2:4" s="7" customFormat="1" ht="15.6" thickBot="1" x14ac:dyDescent="0.35">
      <c r="B106" s="14" t="s">
        <v>217</v>
      </c>
      <c r="C106" s="15" t="s">
        <v>218</v>
      </c>
      <c r="D106" s="14">
        <v>103</v>
      </c>
    </row>
    <row r="107" spans="2:4" s="7" customFormat="1" ht="15.6" thickBot="1" x14ac:dyDescent="0.35">
      <c r="B107" s="14" t="s">
        <v>219</v>
      </c>
      <c r="C107" s="15" t="s">
        <v>220</v>
      </c>
      <c r="D107" s="14">
        <v>104</v>
      </c>
    </row>
    <row r="108" spans="2:4" s="7" customFormat="1" ht="15.6" thickBot="1" x14ac:dyDescent="0.35">
      <c r="B108" s="14" t="s">
        <v>221</v>
      </c>
      <c r="C108" s="15" t="s">
        <v>222</v>
      </c>
      <c r="D108" s="14">
        <v>105</v>
      </c>
    </row>
    <row r="109" spans="2:4" s="7" customFormat="1" ht="30.6" thickBot="1" x14ac:dyDescent="0.35">
      <c r="B109" s="12" t="s">
        <v>223</v>
      </c>
      <c r="C109" s="13" t="s">
        <v>224</v>
      </c>
      <c r="D109" s="12">
        <v>106</v>
      </c>
    </row>
    <row r="110" spans="2:4" s="7" customFormat="1" ht="15.6" thickBot="1" x14ac:dyDescent="0.35">
      <c r="B110" s="14" t="s">
        <v>225</v>
      </c>
      <c r="C110" s="15" t="s">
        <v>226</v>
      </c>
      <c r="D110" s="14">
        <v>107</v>
      </c>
    </row>
    <row r="111" spans="2:4" s="7" customFormat="1" ht="30.6" thickBot="1" x14ac:dyDescent="0.35">
      <c r="B111" s="14" t="s">
        <v>227</v>
      </c>
      <c r="C111" s="15" t="s">
        <v>228</v>
      </c>
      <c r="D111" s="14">
        <v>108</v>
      </c>
    </row>
    <row r="112" spans="2:4" s="7" customFormat="1" ht="15.6" thickBot="1" x14ac:dyDescent="0.35">
      <c r="B112" s="14" t="s">
        <v>229</v>
      </c>
      <c r="C112" s="15" t="s">
        <v>230</v>
      </c>
      <c r="D112" s="14">
        <v>109</v>
      </c>
    </row>
    <row r="113" spans="2:4" s="7" customFormat="1" ht="15.6" thickBot="1" x14ac:dyDescent="0.35">
      <c r="B113" s="14" t="s">
        <v>231</v>
      </c>
      <c r="C113" s="15" t="s">
        <v>232</v>
      </c>
      <c r="D113" s="14">
        <v>110</v>
      </c>
    </row>
    <row r="114" spans="2:4" s="7" customFormat="1" ht="30.6" thickBot="1" x14ac:dyDescent="0.35">
      <c r="B114" s="12" t="s">
        <v>233</v>
      </c>
      <c r="C114" s="13" t="s">
        <v>234</v>
      </c>
      <c r="D114" s="12">
        <v>111</v>
      </c>
    </row>
    <row r="115" spans="2:4" s="7" customFormat="1" ht="15.6" thickBot="1" x14ac:dyDescent="0.35">
      <c r="B115" s="14" t="s">
        <v>235</v>
      </c>
      <c r="C115" s="15" t="s">
        <v>236</v>
      </c>
      <c r="D115" s="14">
        <v>112</v>
      </c>
    </row>
    <row r="116" spans="2:4" s="7" customFormat="1" ht="15.6" thickBot="1" x14ac:dyDescent="0.35">
      <c r="B116" s="14" t="s">
        <v>237</v>
      </c>
      <c r="C116" s="15" t="s">
        <v>238</v>
      </c>
      <c r="D116" s="14">
        <v>113</v>
      </c>
    </row>
    <row r="117" spans="2:4" s="7" customFormat="1" ht="15.6" thickBot="1" x14ac:dyDescent="0.35">
      <c r="B117" s="14" t="s">
        <v>239</v>
      </c>
      <c r="C117" s="15" t="s">
        <v>240</v>
      </c>
      <c r="D117" s="14">
        <v>114</v>
      </c>
    </row>
    <row r="118" spans="2:4" s="7" customFormat="1" ht="15.6" thickBot="1" x14ac:dyDescent="0.35">
      <c r="B118" s="14" t="s">
        <v>241</v>
      </c>
      <c r="C118" s="15" t="s">
        <v>242</v>
      </c>
      <c r="D118" s="14">
        <v>115</v>
      </c>
    </row>
    <row r="119" spans="2:4" s="7" customFormat="1" ht="15.6" thickBot="1" x14ac:dyDescent="0.35">
      <c r="B119" s="12" t="s">
        <v>243</v>
      </c>
      <c r="C119" s="13" t="s">
        <v>244</v>
      </c>
      <c r="D119" s="12">
        <v>116</v>
      </c>
    </row>
    <row r="120" spans="2:4" s="7" customFormat="1" ht="15.6" thickBot="1" x14ac:dyDescent="0.35">
      <c r="B120" s="14" t="s">
        <v>245</v>
      </c>
      <c r="C120" s="15" t="s">
        <v>246</v>
      </c>
      <c r="D120" s="14">
        <v>117</v>
      </c>
    </row>
    <row r="121" spans="2:4" s="7" customFormat="1" ht="30.6" thickBot="1" x14ac:dyDescent="0.35">
      <c r="B121" s="14" t="s">
        <v>247</v>
      </c>
      <c r="C121" s="15" t="s">
        <v>248</v>
      </c>
      <c r="D121" s="14">
        <v>118</v>
      </c>
    </row>
    <row r="122" spans="2:4" s="7" customFormat="1" ht="30.6" thickBot="1" x14ac:dyDescent="0.35">
      <c r="B122" s="14" t="s">
        <v>249</v>
      </c>
      <c r="C122" s="15" t="s">
        <v>250</v>
      </c>
      <c r="D122" s="14">
        <v>119</v>
      </c>
    </row>
    <row r="123" spans="2:4" s="7" customFormat="1" ht="15.6" thickBot="1" x14ac:dyDescent="0.35">
      <c r="B123" s="14" t="s">
        <v>251</v>
      </c>
      <c r="C123" s="15" t="s">
        <v>252</v>
      </c>
      <c r="D123" s="14">
        <v>120</v>
      </c>
    </row>
    <row r="124" spans="2:4" s="7" customFormat="1" ht="30.6" thickBot="1" x14ac:dyDescent="0.35">
      <c r="B124" s="12" t="s">
        <v>253</v>
      </c>
      <c r="C124" s="13" t="s">
        <v>254</v>
      </c>
      <c r="D124" s="12">
        <v>121</v>
      </c>
    </row>
    <row r="125" spans="2:4" s="7" customFormat="1" ht="15.6" thickBot="1" x14ac:dyDescent="0.35">
      <c r="B125" s="14" t="s">
        <v>255</v>
      </c>
      <c r="C125" s="15" t="s">
        <v>256</v>
      </c>
      <c r="D125" s="14">
        <v>122</v>
      </c>
    </row>
    <row r="126" spans="2:4" s="7" customFormat="1" ht="15.6" thickBot="1" x14ac:dyDescent="0.35">
      <c r="B126" s="14" t="s">
        <v>257</v>
      </c>
      <c r="C126" s="15" t="s">
        <v>258</v>
      </c>
      <c r="D126" s="14">
        <v>123</v>
      </c>
    </row>
    <row r="127" spans="2:4" s="7" customFormat="1" ht="15.6" thickBot="1" x14ac:dyDescent="0.35">
      <c r="B127" s="14" t="s">
        <v>259</v>
      </c>
      <c r="C127" s="15" t="s">
        <v>260</v>
      </c>
      <c r="D127" s="14">
        <v>124</v>
      </c>
    </row>
    <row r="128" spans="2:4" s="7" customFormat="1" ht="15.6" thickBot="1" x14ac:dyDescent="0.35">
      <c r="B128" s="14" t="s">
        <v>261</v>
      </c>
      <c r="C128" s="15" t="s">
        <v>262</v>
      </c>
      <c r="D128" s="14">
        <v>125</v>
      </c>
    </row>
    <row r="129" spans="2:4" s="7" customFormat="1" ht="15.6" thickBot="1" x14ac:dyDescent="0.35">
      <c r="B129" s="12" t="s">
        <v>263</v>
      </c>
      <c r="C129" s="13" t="s">
        <v>264</v>
      </c>
      <c r="D129" s="12">
        <v>126</v>
      </c>
    </row>
    <row r="130" spans="2:4" s="7" customFormat="1" ht="15.6" thickBot="1" x14ac:dyDescent="0.35">
      <c r="B130" s="14" t="s">
        <v>265</v>
      </c>
      <c r="C130" s="15" t="s">
        <v>266</v>
      </c>
      <c r="D130" s="14">
        <v>127</v>
      </c>
    </row>
    <row r="131" spans="2:4" s="7" customFormat="1" ht="30.6" thickBot="1" x14ac:dyDescent="0.35">
      <c r="B131" s="14" t="s">
        <v>267</v>
      </c>
      <c r="C131" s="15" t="s">
        <v>268</v>
      </c>
      <c r="D131" s="14">
        <v>128</v>
      </c>
    </row>
    <row r="132" spans="2:4" s="7" customFormat="1" ht="30.6" thickBot="1" x14ac:dyDescent="0.35">
      <c r="B132" s="14" t="s">
        <v>269</v>
      </c>
      <c r="C132" s="15" t="s">
        <v>270</v>
      </c>
      <c r="D132" s="14">
        <v>129</v>
      </c>
    </row>
    <row r="133" spans="2:4" s="7" customFormat="1" ht="15.6" thickBot="1" x14ac:dyDescent="0.35">
      <c r="B133" s="14" t="s">
        <v>271</v>
      </c>
      <c r="C133" s="15" t="s">
        <v>272</v>
      </c>
      <c r="D133" s="14">
        <v>130</v>
      </c>
    </row>
    <row r="134" spans="2:4" s="7" customFormat="1" ht="30.6" thickBot="1" x14ac:dyDescent="0.35">
      <c r="B134" s="12" t="s">
        <v>273</v>
      </c>
      <c r="C134" s="13" t="s">
        <v>274</v>
      </c>
      <c r="D134" s="12">
        <v>131</v>
      </c>
    </row>
    <row r="135" spans="2:4" s="7" customFormat="1" ht="15.6" thickBot="1" x14ac:dyDescent="0.35">
      <c r="B135" s="14" t="s">
        <v>275</v>
      </c>
      <c r="C135" s="15" t="s">
        <v>276</v>
      </c>
      <c r="D135" s="14">
        <v>132</v>
      </c>
    </row>
    <row r="136" spans="2:4" s="7" customFormat="1" ht="15.6" thickBot="1" x14ac:dyDescent="0.35">
      <c r="B136" s="14" t="s">
        <v>277</v>
      </c>
      <c r="C136" s="15" t="s">
        <v>278</v>
      </c>
      <c r="D136" s="14">
        <v>133</v>
      </c>
    </row>
    <row r="137" spans="2:4" s="7" customFormat="1" ht="15.6" thickBot="1" x14ac:dyDescent="0.35">
      <c r="B137" s="14" t="s">
        <v>279</v>
      </c>
      <c r="C137" s="15" t="s">
        <v>280</v>
      </c>
      <c r="D137" s="14">
        <v>134</v>
      </c>
    </row>
    <row r="138" spans="2:4" s="7" customFormat="1" ht="15.6" thickBot="1" x14ac:dyDescent="0.35">
      <c r="B138" s="14" t="s">
        <v>281</v>
      </c>
      <c r="C138" s="15" t="s">
        <v>282</v>
      </c>
      <c r="D138" s="14">
        <v>135</v>
      </c>
    </row>
    <row r="139" spans="2:4" s="7" customFormat="1" ht="15.6" thickBot="1" x14ac:dyDescent="0.35">
      <c r="B139" s="12" t="s">
        <v>283</v>
      </c>
      <c r="C139" s="13" t="s">
        <v>284</v>
      </c>
      <c r="D139" s="12">
        <v>136</v>
      </c>
    </row>
    <row r="140" spans="2:4" s="7" customFormat="1" ht="30.6" thickBot="1" x14ac:dyDescent="0.35">
      <c r="B140" s="14" t="s">
        <v>285</v>
      </c>
      <c r="C140" s="15" t="s">
        <v>286</v>
      </c>
      <c r="D140" s="14">
        <v>137</v>
      </c>
    </row>
    <row r="141" spans="2:4" s="7" customFormat="1" ht="15.6" thickBot="1" x14ac:dyDescent="0.35">
      <c r="B141" s="14" t="s">
        <v>287</v>
      </c>
      <c r="C141" s="15" t="s">
        <v>288</v>
      </c>
      <c r="D141" s="14">
        <v>138</v>
      </c>
    </row>
    <row r="142" spans="2:4" s="7" customFormat="1" ht="30.6" thickBot="1" x14ac:dyDescent="0.35">
      <c r="B142" s="14" t="s">
        <v>289</v>
      </c>
      <c r="C142" s="15" t="s">
        <v>290</v>
      </c>
      <c r="D142" s="14">
        <v>139</v>
      </c>
    </row>
    <row r="143" spans="2:4" s="7" customFormat="1" ht="30.6" thickBot="1" x14ac:dyDescent="0.35">
      <c r="B143" s="14" t="s">
        <v>291</v>
      </c>
      <c r="C143" s="15" t="s">
        <v>292</v>
      </c>
      <c r="D143" s="14">
        <v>140</v>
      </c>
    </row>
    <row r="144" spans="2:4" s="7" customFormat="1" ht="15.6" thickBot="1" x14ac:dyDescent="0.35">
      <c r="B144" s="12" t="s">
        <v>293</v>
      </c>
      <c r="C144" s="13" t="s">
        <v>294</v>
      </c>
      <c r="D144" s="12">
        <v>141</v>
      </c>
    </row>
    <row r="145" spans="2:4" s="7" customFormat="1" ht="15.6" thickBot="1" x14ac:dyDescent="0.35">
      <c r="B145" s="14" t="s">
        <v>295</v>
      </c>
      <c r="C145" s="15" t="s">
        <v>296</v>
      </c>
      <c r="D145" s="14">
        <v>142</v>
      </c>
    </row>
    <row r="146" spans="2:4" s="7" customFormat="1" ht="30.6" thickBot="1" x14ac:dyDescent="0.35">
      <c r="B146" s="14" t="s">
        <v>297</v>
      </c>
      <c r="C146" s="15" t="s">
        <v>298</v>
      </c>
      <c r="D146" s="14">
        <v>143</v>
      </c>
    </row>
    <row r="147" spans="2:4" s="7" customFormat="1" ht="15.6" thickBot="1" x14ac:dyDescent="0.35">
      <c r="B147" s="14" t="s">
        <v>299</v>
      </c>
      <c r="C147" s="15" t="s">
        <v>300</v>
      </c>
      <c r="D147" s="14">
        <v>144</v>
      </c>
    </row>
    <row r="148" spans="2:4" s="7" customFormat="1" ht="15.6" thickBot="1" x14ac:dyDescent="0.35">
      <c r="B148" s="14" t="s">
        <v>301</v>
      </c>
      <c r="C148" s="15" t="s">
        <v>302</v>
      </c>
      <c r="D148" s="14">
        <v>145</v>
      </c>
    </row>
    <row r="149" spans="2:4" s="7" customFormat="1" ht="15.6" thickBot="1" x14ac:dyDescent="0.35">
      <c r="B149" s="12" t="s">
        <v>303</v>
      </c>
      <c r="C149" s="13" t="s">
        <v>304</v>
      </c>
      <c r="D149" s="12">
        <v>146</v>
      </c>
    </row>
    <row r="150" spans="2:4" s="7" customFormat="1" ht="15.6" thickBot="1" x14ac:dyDescent="0.35">
      <c r="B150" s="14" t="s">
        <v>305</v>
      </c>
      <c r="C150" s="15" t="s">
        <v>306</v>
      </c>
      <c r="D150" s="14">
        <v>147</v>
      </c>
    </row>
    <row r="151" spans="2:4" s="7" customFormat="1" ht="30.6" thickBot="1" x14ac:dyDescent="0.35">
      <c r="B151" s="14" t="s">
        <v>307</v>
      </c>
      <c r="C151" s="15" t="s">
        <v>308</v>
      </c>
      <c r="D151" s="14">
        <v>148</v>
      </c>
    </row>
    <row r="152" spans="2:4" s="7" customFormat="1" ht="15.6" thickBot="1" x14ac:dyDescent="0.35">
      <c r="B152" s="14" t="s">
        <v>309</v>
      </c>
      <c r="C152" s="15" t="s">
        <v>310</v>
      </c>
      <c r="D152" s="14">
        <v>149</v>
      </c>
    </row>
    <row r="153" spans="2:4" s="7" customFormat="1" ht="15.6" thickBot="1" x14ac:dyDescent="0.35">
      <c r="B153" s="14" t="s">
        <v>311</v>
      </c>
      <c r="C153" s="15" t="s">
        <v>312</v>
      </c>
      <c r="D153" s="14">
        <v>150</v>
      </c>
    </row>
    <row r="154" spans="2:4" s="7" customFormat="1" ht="15.6" thickBot="1" x14ac:dyDescent="0.35">
      <c r="B154" s="12" t="s">
        <v>313</v>
      </c>
      <c r="C154" s="13" t="s">
        <v>314</v>
      </c>
      <c r="D154" s="12">
        <v>151</v>
      </c>
    </row>
    <row r="155" spans="2:4" s="7" customFormat="1" ht="15.6" thickBot="1" x14ac:dyDescent="0.35">
      <c r="B155" s="14" t="s">
        <v>315</v>
      </c>
      <c r="C155" s="15" t="s">
        <v>316</v>
      </c>
      <c r="D155" s="14">
        <v>153</v>
      </c>
    </row>
    <row r="156" spans="2:4" s="7" customFormat="1" ht="15.6" thickBot="1" x14ac:dyDescent="0.35">
      <c r="B156" s="14" t="s">
        <v>317</v>
      </c>
      <c r="C156" s="15" t="s">
        <v>318</v>
      </c>
      <c r="D156" s="14">
        <v>155</v>
      </c>
    </row>
    <row r="157" spans="2:4" s="7" customFormat="1" ht="15.6" thickBot="1" x14ac:dyDescent="0.35">
      <c r="B157" s="14" t="s">
        <v>319</v>
      </c>
      <c r="C157" s="15" t="s">
        <v>320</v>
      </c>
      <c r="D157" s="14">
        <v>156</v>
      </c>
    </row>
  </sheetData>
  <customSheetViews>
    <customSheetView guid="{6F4C363F-0186-4625-BDD1-378CC40576FA}" showGridLines="0">
      <selection activeCell="G9" sqref="G9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Ingreso</vt:lpstr>
      <vt:lpstr>Comex (Ingreso)</vt:lpstr>
      <vt:lpstr>Salida</vt:lpstr>
      <vt:lpstr>Comex (Salida)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Carolina Petro</dc:creator>
  <cp:lastModifiedBy>Jose Angulo</cp:lastModifiedBy>
  <cp:lastPrinted>2024-01-02T16:33:34Z</cp:lastPrinted>
  <dcterms:created xsi:type="dcterms:W3CDTF">2024-01-02T13:04:02Z</dcterms:created>
  <dcterms:modified xsi:type="dcterms:W3CDTF">2025-03-12T01:30:45Z</dcterms:modified>
</cp:coreProperties>
</file>